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ish\Practice\"/>
    </mc:Choice>
  </mc:AlternateContent>
  <xr:revisionPtr revIDLastSave="0" documentId="13_ncr:1_{806600F7-69B1-4EB9-B5C9-A9BB586A7730}" xr6:coauthVersionLast="47" xr6:coauthVersionMax="47" xr10:uidLastSave="{00000000-0000-0000-0000-000000000000}"/>
  <bookViews>
    <workbookView xWindow="-120" yWindow="-120" windowWidth="29040" windowHeight="15720" activeTab="1" xr2:uid="{6FE3E64F-DBCD-4D23-AF0B-60D0E843E9C6}"/>
  </bookViews>
  <sheets>
    <sheet name="Raw_Sales" sheetId="1" r:id="rId1"/>
    <sheet name="Cleaned_Sales" sheetId="2" r:id="rId2"/>
  </sheets>
  <calcPr calcId="191029"/>
</workbook>
</file>

<file path=xl/calcChain.xml><?xml version="1.0" encoding="utf-8"?>
<calcChain xmlns="http://schemas.openxmlformats.org/spreadsheetml/2006/main">
  <c r="Z2" i="2" l="1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T2" i="2"/>
  <c r="U2" i="2" s="1"/>
  <c r="T3" i="2"/>
  <c r="U3" i="2" s="1"/>
  <c r="T4" i="2"/>
  <c r="U4" i="2" s="1"/>
  <c r="T5" i="2"/>
  <c r="U5" i="2" s="1"/>
  <c r="T6" i="2"/>
  <c r="U6" i="2" s="1"/>
  <c r="T7" i="2"/>
  <c r="U7" i="2" s="1"/>
  <c r="T8" i="2"/>
  <c r="U8" i="2" s="1"/>
  <c r="T9" i="2"/>
  <c r="U9" i="2" s="1"/>
  <c r="T10" i="2"/>
  <c r="U10" i="2" s="1"/>
  <c r="T11" i="2"/>
  <c r="U11" i="2" s="1"/>
  <c r="T12" i="2"/>
  <c r="U12" i="2" s="1"/>
  <c r="T13" i="2"/>
  <c r="U13" i="2" s="1"/>
  <c r="T14" i="2"/>
  <c r="U14" i="2" s="1"/>
  <c r="T15" i="2"/>
  <c r="U15" i="2" s="1"/>
  <c r="T16" i="2"/>
  <c r="U16" i="2" s="1"/>
  <c r="T17" i="2"/>
  <c r="U17" i="2" s="1"/>
  <c r="T18" i="2"/>
  <c r="U18" i="2" s="1"/>
  <c r="T19" i="2"/>
  <c r="U19" i="2" s="1"/>
  <c r="T20" i="2"/>
  <c r="U20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7" i="2"/>
  <c r="U27" i="2" s="1"/>
  <c r="T28" i="2"/>
  <c r="U28" i="2" s="1"/>
  <c r="T29" i="2"/>
  <c r="U29" i="2" s="1"/>
  <c r="T30" i="2"/>
  <c r="U30" i="2" s="1"/>
  <c r="T31" i="2"/>
  <c r="U31" i="2" s="1"/>
  <c r="T32" i="2"/>
  <c r="U32" i="2" s="1"/>
  <c r="T33" i="2"/>
  <c r="U33" i="2" s="1"/>
  <c r="T34" i="2"/>
  <c r="U34" i="2" s="1"/>
  <c r="T35" i="2"/>
  <c r="U35" i="2" s="1"/>
  <c r="T36" i="2"/>
  <c r="U36" i="2" s="1"/>
  <c r="T37" i="2"/>
  <c r="U37" i="2" s="1"/>
  <c r="T38" i="2"/>
  <c r="U38" i="2" s="1"/>
  <c r="T39" i="2"/>
  <c r="U39" i="2" s="1"/>
  <c r="T40" i="2"/>
  <c r="U40" i="2" s="1"/>
  <c r="T41" i="2"/>
  <c r="U41" i="2" s="1"/>
  <c r="T42" i="2"/>
  <c r="U42" i="2" s="1"/>
  <c r="T43" i="2"/>
  <c r="U43" i="2" s="1"/>
  <c r="T44" i="2"/>
  <c r="U44" i="2" s="1"/>
  <c r="T45" i="2"/>
  <c r="U45" i="2" s="1"/>
  <c r="T46" i="2"/>
  <c r="U46" i="2" s="1"/>
  <c r="T47" i="2"/>
  <c r="U47" i="2" s="1"/>
  <c r="T48" i="2"/>
  <c r="U48" i="2" s="1"/>
  <c r="T49" i="2"/>
  <c r="U49" i="2" s="1"/>
  <c r="V49" i="2" l="1"/>
  <c r="V43" i="2"/>
  <c r="V37" i="2"/>
  <c r="V31" i="2"/>
  <c r="V25" i="2"/>
  <c r="V19" i="2"/>
  <c r="V13" i="2"/>
  <c r="V7" i="2"/>
  <c r="V48" i="2"/>
  <c r="V42" i="2"/>
  <c r="V36" i="2"/>
  <c r="V30" i="2"/>
  <c r="V24" i="2"/>
  <c r="V18" i="2"/>
  <c r="V12" i="2"/>
  <c r="V6" i="2"/>
  <c r="V47" i="2"/>
  <c r="V41" i="2"/>
  <c r="V35" i="2"/>
  <c r="V29" i="2"/>
  <c r="V23" i="2"/>
  <c r="V17" i="2"/>
  <c r="V11" i="2"/>
  <c r="V5" i="2"/>
  <c r="V46" i="2"/>
  <c r="V40" i="2"/>
  <c r="V34" i="2"/>
  <c r="V28" i="2"/>
  <c r="V22" i="2"/>
  <c r="V16" i="2"/>
  <c r="V10" i="2"/>
  <c r="V4" i="2"/>
  <c r="V45" i="2"/>
  <c r="V39" i="2"/>
  <c r="V33" i="2"/>
  <c r="V27" i="2"/>
  <c r="V21" i="2"/>
  <c r="V15" i="2"/>
  <c r="V9" i="2"/>
  <c r="V3" i="2"/>
  <c r="V44" i="2"/>
  <c r="V38" i="2"/>
  <c r="V32" i="2"/>
  <c r="V26" i="2"/>
  <c r="V20" i="2"/>
  <c r="V14" i="2"/>
  <c r="V8" i="2"/>
  <c r="V2" i="2"/>
</calcChain>
</file>

<file path=xl/sharedStrings.xml><?xml version="1.0" encoding="utf-8"?>
<sst xmlns="http://schemas.openxmlformats.org/spreadsheetml/2006/main" count="1352" uniqueCount="275">
  <si>
    <t>Order_ID</t>
  </si>
  <si>
    <t>Order_Date</t>
  </si>
  <si>
    <t>Customer_ID</t>
  </si>
  <si>
    <t>Customer_Name</t>
  </si>
  <si>
    <t>Gender</t>
  </si>
  <si>
    <t>Age</t>
  </si>
  <si>
    <t>City</t>
  </si>
  <si>
    <t>State</t>
  </si>
  <si>
    <t>Store_ID</t>
  </si>
  <si>
    <t>Store_Type</t>
  </si>
  <si>
    <t>Product_ID</t>
  </si>
  <si>
    <t>Product_Name</t>
  </si>
  <si>
    <t>Category</t>
  </si>
  <si>
    <t>Quantity</t>
  </si>
  <si>
    <t>Unit_Price</t>
  </si>
  <si>
    <t>Discount</t>
  </si>
  <si>
    <t>Payment_Method</t>
  </si>
  <si>
    <t>Salesperson</t>
  </si>
  <si>
    <t>Customer_Rating</t>
  </si>
  <si>
    <t>NM1001</t>
  </si>
  <si>
    <t>C001</t>
  </si>
  <si>
    <t>Rahul Sharma</t>
  </si>
  <si>
    <t>Male</t>
  </si>
  <si>
    <t>Pune</t>
  </si>
  <si>
    <t>Maharashtra</t>
  </si>
  <si>
    <t>S001</t>
  </si>
  <si>
    <t>Mall</t>
  </si>
  <si>
    <t>P101</t>
  </si>
  <si>
    <t>Laptop</t>
  </si>
  <si>
    <t>Electronics</t>
  </si>
  <si>
    <t>UPI</t>
  </si>
  <si>
    <t>Arjun</t>
  </si>
  <si>
    <t>NM1002</t>
  </si>
  <si>
    <t>C002</t>
  </si>
  <si>
    <t>Priya Mehta</t>
  </si>
  <si>
    <t>Female</t>
  </si>
  <si>
    <t>Mumbai</t>
  </si>
  <si>
    <t>S002</t>
  </si>
  <si>
    <t>Supermarket</t>
  </si>
  <si>
    <t>P105</t>
  </si>
  <si>
    <t>Headphones</t>
  </si>
  <si>
    <t>Card</t>
  </si>
  <si>
    <t>Neha</t>
  </si>
  <si>
    <t>NM1003</t>
  </si>
  <si>
    <t>C003</t>
  </si>
  <si>
    <t>Amit Patel</t>
  </si>
  <si>
    <t>Ahmedabad</t>
  </si>
  <si>
    <t>Gujarat</t>
  </si>
  <si>
    <t>S003</t>
  </si>
  <si>
    <t>Express</t>
  </si>
  <si>
    <t>P201</t>
  </si>
  <si>
    <t>Running Shoes</t>
  </si>
  <si>
    <t>Footwear</t>
  </si>
  <si>
    <t>Cash</t>
  </si>
  <si>
    <t>Rohit</t>
  </si>
  <si>
    <t>NM1004</t>
  </si>
  <si>
    <t>C004</t>
  </si>
  <si>
    <t>Sneha Rao</t>
  </si>
  <si>
    <t>Bangalore</t>
  </si>
  <si>
    <t>Karnataka</t>
  </si>
  <si>
    <t>S004</t>
  </si>
  <si>
    <t>P301</t>
  </si>
  <si>
    <t>Office Chair</t>
  </si>
  <si>
    <t>Furniture</t>
  </si>
  <si>
    <t>Priya</t>
  </si>
  <si>
    <t>NM1005</t>
  </si>
  <si>
    <t>C005</t>
  </si>
  <si>
    <t>Vikram Singh</t>
  </si>
  <si>
    <t>Delhi</t>
  </si>
  <si>
    <t>S005</t>
  </si>
  <si>
    <t>P401</t>
  </si>
  <si>
    <t>Backpack</t>
  </si>
  <si>
    <t>Accessories</t>
  </si>
  <si>
    <t>NM1006</t>
  </si>
  <si>
    <t>C006</t>
  </si>
  <si>
    <t>Anjali Verma</t>
  </si>
  <si>
    <t xml:space="preserve"> Pune </t>
  </si>
  <si>
    <t>P102</t>
  </si>
  <si>
    <t>Monitor</t>
  </si>
  <si>
    <t>NM1007</t>
  </si>
  <si>
    <t>C007</t>
  </si>
  <si>
    <t>Karan Shah</t>
  </si>
  <si>
    <t>P202</t>
  </si>
  <si>
    <t>Casual Shoes</t>
  </si>
  <si>
    <t>NM1008</t>
  </si>
  <si>
    <t>C008</t>
  </si>
  <si>
    <t>Meera Iyer</t>
  </si>
  <si>
    <t>Chennai</t>
  </si>
  <si>
    <t>Tamil Nadu</t>
  </si>
  <si>
    <t>S006</t>
  </si>
  <si>
    <t>P302</t>
  </si>
  <si>
    <t>Study Table</t>
  </si>
  <si>
    <t>NM1009</t>
  </si>
  <si>
    <t>C009</t>
  </si>
  <si>
    <t>Ravi Kumar</t>
  </si>
  <si>
    <t>Hyderabad</t>
  </si>
  <si>
    <t>Telangana</t>
  </si>
  <si>
    <t>S007</t>
  </si>
  <si>
    <t>P501</t>
  </si>
  <si>
    <t>Smartwatch</t>
  </si>
  <si>
    <t>NM1010</t>
  </si>
  <si>
    <t>C010</t>
  </si>
  <si>
    <t>Kavya Nair</t>
  </si>
  <si>
    <t>Kochi</t>
  </si>
  <si>
    <t>Kerala</t>
  </si>
  <si>
    <t>S008</t>
  </si>
  <si>
    <t>P402</t>
  </si>
  <si>
    <t>Wallet</t>
  </si>
  <si>
    <t>NM1011</t>
  </si>
  <si>
    <t>C011</t>
  </si>
  <si>
    <t>Aditya Joshi</t>
  </si>
  <si>
    <t>P103</t>
  </si>
  <si>
    <t>Keyboard</t>
  </si>
  <si>
    <t>NM1012</t>
  </si>
  <si>
    <t>C012</t>
  </si>
  <si>
    <t>isha gupta</t>
  </si>
  <si>
    <t>P203</t>
  </si>
  <si>
    <t>Formal Shoes</t>
  </si>
  <si>
    <t>NM1013</t>
  </si>
  <si>
    <t>C013</t>
  </si>
  <si>
    <t>Manish Yadav</t>
  </si>
  <si>
    <t>Lucknow</t>
  </si>
  <si>
    <t>Uttar Pradesh</t>
  </si>
  <si>
    <t>S009</t>
  </si>
  <si>
    <t>P303</t>
  </si>
  <si>
    <t>Bookshelf</t>
  </si>
  <si>
    <t>NM1014</t>
  </si>
  <si>
    <t>C014</t>
  </si>
  <si>
    <t>Pooja Kapoor</t>
  </si>
  <si>
    <t>Jaipur</t>
  </si>
  <si>
    <t>Rajasthan</t>
  </si>
  <si>
    <t>S010</t>
  </si>
  <si>
    <t>P403</t>
  </si>
  <si>
    <t>Belt</t>
  </si>
  <si>
    <t>NM1015</t>
  </si>
  <si>
    <t>C015</t>
  </si>
  <si>
    <t>Suresh Reddy</t>
  </si>
  <si>
    <t>P104</t>
  </si>
  <si>
    <t>Mouse</t>
  </si>
  <si>
    <t>NM1016</t>
  </si>
  <si>
    <t>C016</t>
  </si>
  <si>
    <t>Nisha Kulkarni</t>
  </si>
  <si>
    <t>NM1017</t>
  </si>
  <si>
    <t>C017</t>
  </si>
  <si>
    <t>Deepak Jain</t>
  </si>
  <si>
    <t>P304</t>
  </si>
  <si>
    <t>Desk</t>
  </si>
  <si>
    <t>NM1018</t>
  </si>
  <si>
    <t>C018</t>
  </si>
  <si>
    <t>Riya Sen</t>
  </si>
  <si>
    <t>Kolkata</t>
  </si>
  <si>
    <t>West Bengal</t>
  </si>
  <si>
    <t>S011</t>
  </si>
  <si>
    <t>P404</t>
  </si>
  <si>
    <t>Handbag</t>
  </si>
  <si>
    <t>NM1019</t>
  </si>
  <si>
    <t>C019</t>
  </si>
  <si>
    <t>Harsh Malhotra</t>
  </si>
  <si>
    <t>NM1020</t>
  </si>
  <si>
    <t>C020</t>
  </si>
  <si>
    <t>Tanya Bose</t>
  </si>
  <si>
    <t>P405</t>
  </si>
  <si>
    <t>Sunglasses</t>
  </si>
  <si>
    <t>NM1021</t>
  </si>
  <si>
    <t>C021</t>
  </si>
  <si>
    <t>Rohit Bansal</t>
  </si>
  <si>
    <t>Noida</t>
  </si>
  <si>
    <t>S012</t>
  </si>
  <si>
    <t>NM1022</t>
  </si>
  <si>
    <t>C022</t>
  </si>
  <si>
    <t>Simran Kaur</t>
  </si>
  <si>
    <t>Chandigarh</t>
  </si>
  <si>
    <t>Punjab</t>
  </si>
  <si>
    <t>S013</t>
  </si>
  <si>
    <t>NM1023</t>
  </si>
  <si>
    <t>C023</t>
  </si>
  <si>
    <t>Ajay Singh</t>
  </si>
  <si>
    <t>NM1024</t>
  </si>
  <si>
    <t>C024</t>
  </si>
  <si>
    <t>Neelam Roy</t>
  </si>
  <si>
    <t>NM1025</t>
  </si>
  <si>
    <t>C025</t>
  </si>
  <si>
    <t>Sachin Desai</t>
  </si>
  <si>
    <t>NM1026</t>
  </si>
  <si>
    <t>C026</t>
  </si>
  <si>
    <t>Aarti Shah</t>
  </si>
  <si>
    <t>NM1027</t>
  </si>
  <si>
    <t>C027</t>
  </si>
  <si>
    <t>Pranav Rao</t>
  </si>
  <si>
    <t>NM1028</t>
  </si>
  <si>
    <t>C028</t>
  </si>
  <si>
    <t>Divya Menon</t>
  </si>
  <si>
    <t>NM1029</t>
  </si>
  <si>
    <t>C029</t>
  </si>
  <si>
    <t>Varun Gupta</t>
  </si>
  <si>
    <t>NM1030</t>
  </si>
  <si>
    <t>C030</t>
  </si>
  <si>
    <t>Sakshi Agarwal</t>
  </si>
  <si>
    <t>NM1031</t>
  </si>
  <si>
    <t>C031</t>
  </si>
  <si>
    <t>Manav Kapoor</t>
  </si>
  <si>
    <t>NM1032</t>
  </si>
  <si>
    <t>C032</t>
  </si>
  <si>
    <t>Ananya Iyer</t>
  </si>
  <si>
    <t>NM1033</t>
  </si>
  <si>
    <t>C033</t>
  </si>
  <si>
    <t>Raj Malhotra</t>
  </si>
  <si>
    <t>NM1034</t>
  </si>
  <si>
    <t>C034</t>
  </si>
  <si>
    <t>Shweta Rao</t>
  </si>
  <si>
    <t>NM1035</t>
  </si>
  <si>
    <t>C035</t>
  </si>
  <si>
    <t>NM1036</t>
  </si>
  <si>
    <t>C036</t>
  </si>
  <si>
    <t>Preeti Sharma</t>
  </si>
  <si>
    <t>NM1037</t>
  </si>
  <si>
    <t>C037</t>
  </si>
  <si>
    <t>Arjun Mehta</t>
  </si>
  <si>
    <t>NM1038</t>
  </si>
  <si>
    <t>C038</t>
  </si>
  <si>
    <t>Mitali Das</t>
  </si>
  <si>
    <t>NM1039</t>
  </si>
  <si>
    <t>C039</t>
  </si>
  <si>
    <t>Sameer Khan</t>
  </si>
  <si>
    <t>NM1040</t>
  </si>
  <si>
    <t>C040</t>
  </si>
  <si>
    <t>Komal Verma</t>
  </si>
  <si>
    <t>NM1041</t>
  </si>
  <si>
    <t>C041</t>
  </si>
  <si>
    <t>Abhishek Jain</t>
  </si>
  <si>
    <t>NM1042</t>
  </si>
  <si>
    <t>C042</t>
  </si>
  <si>
    <t>Neha Sharma</t>
  </si>
  <si>
    <t>NM1043</t>
  </si>
  <si>
    <t>C043</t>
  </si>
  <si>
    <t>Rakesh Patel</t>
  </si>
  <si>
    <t>NM1044</t>
  </si>
  <si>
    <t>C044</t>
  </si>
  <si>
    <t>Shalini Rao</t>
  </si>
  <si>
    <t>NM1045</t>
  </si>
  <si>
    <t>C045</t>
  </si>
  <si>
    <t>Mohit Singh</t>
  </si>
  <si>
    <t>NM1046</t>
  </si>
  <si>
    <t>C046</t>
  </si>
  <si>
    <t>Reema Gupta</t>
  </si>
  <si>
    <t>NM1047</t>
  </si>
  <si>
    <t>C047</t>
  </si>
  <si>
    <t>Anil Kumar</t>
  </si>
  <si>
    <t>NM1048</t>
  </si>
  <si>
    <t>C048</t>
  </si>
  <si>
    <t>Payal Joshi</t>
  </si>
  <si>
    <t>NM1049</t>
  </si>
  <si>
    <t>C049</t>
  </si>
  <si>
    <t>Shivam Roy</t>
  </si>
  <si>
    <t>NM1050</t>
  </si>
  <si>
    <t>C050</t>
  </si>
  <si>
    <t>riya sharma</t>
  </si>
  <si>
    <t>pune</t>
  </si>
  <si>
    <t>MUMBAI</t>
  </si>
  <si>
    <t>electronics</t>
  </si>
  <si>
    <t>electronic</t>
  </si>
  <si>
    <t>nisha kulkarni</t>
  </si>
  <si>
    <t>sachin desai</t>
  </si>
  <si>
    <t>nitin kumar</t>
  </si>
  <si>
    <t>Isha Gupta</t>
  </si>
  <si>
    <t>Riya Sharma</t>
  </si>
  <si>
    <t>Electronic</t>
  </si>
  <si>
    <t>Unknown</t>
  </si>
  <si>
    <t>Gross_Sales</t>
  </si>
  <si>
    <t>Discount_Amount</t>
  </si>
  <si>
    <t>Net_Sales</t>
  </si>
  <si>
    <t>Month</t>
  </si>
  <si>
    <t>Month_Number</t>
  </si>
  <si>
    <t>Year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</si>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</sst>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830153-5EC0-45C5-9AEC-5068520977BF}" name="Table2" displayName="Table2" ref="A1:Z49" totalsRowShown="0">
  <autoFilter ref="A1:Z49" xr:uid="{B2830153-5EC0-45C5-9AEC-5068520977BF}"/>
  <tableColumns count="26">
    <tableColumn id="1" xr3:uid="{D176990B-B5EC-48B5-92C1-E1540FE7043E}" name="Order_ID"/>
    <tableColumn id="2" xr3:uid="{EA16FA0C-6751-4C11-B133-D310C411D51A}" name="Order_Date" dataDxfId="10"/>
    <tableColumn id="3" xr3:uid="{8B7280D6-EAFB-4978-961A-C94981F2372D}" name="Customer_ID" dataDxfId="9"/>
    <tableColumn id="4" xr3:uid="{A1446035-A53F-49DA-A6EB-0AFD4A321557}" name="Customer_Name" dataDxfId="8"/>
    <tableColumn id="5" xr3:uid="{69FA65FC-1E17-4811-851E-A101109042DA}" name="Gender" dataDxfId="7"/>
    <tableColumn id="6" xr3:uid="{C0E7CF06-B2C2-4B7F-8C35-C523175DF1C7}" name="Age"/>
    <tableColumn id="7" xr3:uid="{D0B8EE24-6B4E-485C-89A3-7161521AB644}" name="City"/>
    <tableColumn id="8" xr3:uid="{BCC0D995-F37D-4B07-9BEA-598DB76120D2}" name="State"/>
    <tableColumn id="9" xr3:uid="{1B96C77D-7ABD-4A2D-994B-47CC520C81DE}" name="Store_ID"/>
    <tableColumn id="10" xr3:uid="{E7C10496-5449-4938-8448-FD956AFE0207}" name="Store_Type"/>
    <tableColumn id="11" xr3:uid="{80A420E6-B8E6-4D4E-A2AE-A22AAC8BE7AD}" name="Product_ID"/>
    <tableColumn id="12" xr3:uid="{B221654D-EDAA-49D6-9D5F-FFBBF551B0AA}" name="Product_Name"/>
    <tableColumn id="13" xr3:uid="{2AC238DF-BE60-4D9F-8BD8-E2D0E0528687}" name="Category"/>
    <tableColumn id="14" xr3:uid="{9C66A2CC-CC54-4C62-8DDC-7F005D206F8F}" name="Quantity"/>
    <tableColumn id="15" xr3:uid="{2584D6FC-8A49-40B7-B94A-7DCB0503CE17}" name="Unit_Price"/>
    <tableColumn id="16" xr3:uid="{FC2D12DA-88D2-4650-95A0-A222D2819D52}" name="Discount"/>
    <tableColumn id="17" xr3:uid="{FE2F1B32-D78C-48AE-A816-D0A1D369BCCC}" name="Payment_Method"/>
    <tableColumn id="18" xr3:uid="{C2A655D5-4698-4941-BB4E-83785B53F4A7}" name="Salesperson"/>
    <tableColumn id="19" xr3:uid="{22756DB8-76C5-4129-825D-90092E229FDC}" name="Customer_Rating"/>
    <tableColumn id="20" xr3:uid="{4644D6C7-A264-4CCA-B4F5-C72900E33A72}" name="Gross_Sales" dataDxfId="6">
      <calculatedColumnFormula>(Table2[[#This Row],[Quantity]]*Table2[[#This Row],[Unit_Price]])</calculatedColumnFormula>
    </tableColumn>
    <tableColumn id="21" xr3:uid="{07073FDA-0048-4357-9954-44F808ECE715}" name="Discount_Amount" dataDxfId="5">
      <calculatedColumnFormula>(Table2[[#This Row],[Gross_Sales]]*Table2[[#This Row],[Discount]])</calculatedColumnFormula>
    </tableColumn>
    <tableColumn id="22" xr3:uid="{5735FB2C-2451-4A48-AFDD-D16F0B06D23E}" name="Net_Sales" dataDxfId="4">
      <calculatedColumnFormula>(Table2[[#This Row],[Gross_Sales]]-Table2[[#This Row],[Discount_Amount]])</calculatedColumnFormula>
    </tableColumn>
    <tableColumn id="23" xr3:uid="{414A35D7-46EC-45B6-A6C7-44047D9FED25}" name="Month" dataDxfId="3">
      <calculatedColumnFormula>TEXT(Table2[[#This Row],[Order_Date]],"mmm")</calculatedColumnFormula>
    </tableColumn>
    <tableColumn id="24" xr3:uid="{93B19942-0E65-4761-8D05-EB4AD1C0E22A}" name="Month_Number" dataDxfId="2">
      <calculatedColumnFormula>MONTH(Table2[[#This Row],[Order_Date]])</calculatedColumnFormula>
    </tableColumn>
    <tableColumn id="25" xr3:uid="{9D2E4268-7FF2-4C60-97FE-4C0E3B53984F}" name="Year" dataDxfId="1">
      <calculatedColumnFormula>YEAR(Table2[[#This Row],[Order_Date]])</calculatedColumnFormula>
    </tableColumn>
    <tableColumn id="26" xr3:uid="{9037E747-A53B-43A1-AEF4-A917D7EA2DDD}" name="Segment" dataDxfId="0">
      <calculatedColumnFormula>_xlfn.IFS(Table2[[#This Row],[Age]]&lt;=25,"Young",Table2[[#This Row],[Age]]&lt;=50,"Mature",Table2[[#This Row],[Age]]&gt;50,"Senior")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0470-3666-4D49-BD1D-A04B28DCB1CF}">
  <dimension ref="A1:S52"/>
  <sheetViews>
    <sheetView topLeftCell="A13" workbookViewId="0">
      <selection sqref="A1:S52"/>
    </sheetView>
  </sheetViews>
  <sheetFormatPr defaultRowHeight="15" x14ac:dyDescent="0.25"/>
  <cols>
    <col min="1" max="1" width="9" bestFit="1" customWidth="1"/>
    <col min="2" max="2" width="11.28515625" bestFit="1" customWidth="1"/>
    <col min="3" max="3" width="12.42578125" bestFit="1" customWidth="1"/>
    <col min="4" max="4" width="16" bestFit="1" customWidth="1"/>
    <col min="5" max="5" width="7.5703125" bestFit="1" customWidth="1"/>
    <col min="6" max="6" width="4.42578125" bestFit="1" customWidth="1"/>
    <col min="7" max="7" width="11.7109375" bestFit="1" customWidth="1"/>
    <col min="8" max="8" width="13.140625" bestFit="1" customWidth="1"/>
    <col min="9" max="9" width="8.5703125" bestFit="1" customWidth="1"/>
    <col min="10" max="10" width="12.42578125" bestFit="1" customWidth="1"/>
    <col min="11" max="11" width="10.7109375" bestFit="1" customWidth="1"/>
    <col min="12" max="12" width="14.28515625" bestFit="1" customWidth="1"/>
    <col min="13" max="13" width="11.28515625" bestFit="1" customWidth="1"/>
    <col min="14" max="14" width="8.7109375" bestFit="1" customWidth="1"/>
    <col min="15" max="15" width="10.140625" bestFit="1" customWidth="1"/>
    <col min="16" max="16" width="8.7109375" bestFit="1" customWidth="1"/>
    <col min="17" max="17" width="17" bestFit="1" customWidth="1"/>
    <col min="18" max="18" width="11.7109375" bestFit="1" customWidth="1"/>
    <col min="19" max="19" width="16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s="1">
        <v>46025</v>
      </c>
      <c r="C2" t="s">
        <v>20</v>
      </c>
      <c r="D2" t="s">
        <v>21</v>
      </c>
      <c r="E2" t="s">
        <v>22</v>
      </c>
      <c r="F2">
        <v>24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1</v>
      </c>
      <c r="O2">
        <v>55000</v>
      </c>
      <c r="P2">
        <v>0.05</v>
      </c>
      <c r="Q2" t="s">
        <v>30</v>
      </c>
      <c r="R2" t="s">
        <v>31</v>
      </c>
      <c r="S2">
        <v>4</v>
      </c>
    </row>
    <row r="3" spans="1:19" x14ac:dyDescent="0.25">
      <c r="A3" t="s">
        <v>32</v>
      </c>
      <c r="B3" s="1">
        <v>46025</v>
      </c>
      <c r="C3" t="s">
        <v>33</v>
      </c>
      <c r="D3" t="s">
        <v>34</v>
      </c>
      <c r="E3" t="s">
        <v>35</v>
      </c>
      <c r="F3">
        <v>29</v>
      </c>
      <c r="G3" t="s">
        <v>36</v>
      </c>
      <c r="H3" t="s">
        <v>24</v>
      </c>
      <c r="I3" t="s">
        <v>37</v>
      </c>
      <c r="J3" t="s">
        <v>38</v>
      </c>
      <c r="K3" t="s">
        <v>39</v>
      </c>
      <c r="L3" t="s">
        <v>40</v>
      </c>
      <c r="M3" t="s">
        <v>29</v>
      </c>
      <c r="N3">
        <v>2</v>
      </c>
      <c r="O3">
        <v>2500</v>
      </c>
      <c r="P3">
        <v>0.1</v>
      </c>
      <c r="Q3" t="s">
        <v>41</v>
      </c>
      <c r="R3" t="s">
        <v>42</v>
      </c>
      <c r="S3">
        <v>5</v>
      </c>
    </row>
    <row r="4" spans="1:19" x14ac:dyDescent="0.25">
      <c r="A4" t="s">
        <v>43</v>
      </c>
      <c r="B4" s="1">
        <v>46027</v>
      </c>
      <c r="C4" t="s">
        <v>44</v>
      </c>
      <c r="D4" t="s">
        <v>45</v>
      </c>
      <c r="E4" t="s">
        <v>22</v>
      </c>
      <c r="F4">
        <v>35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>
        <v>1</v>
      </c>
      <c r="O4">
        <v>3200</v>
      </c>
      <c r="P4">
        <v>0.05</v>
      </c>
      <c r="Q4" t="s">
        <v>53</v>
      </c>
      <c r="R4" t="s">
        <v>54</v>
      </c>
      <c r="S4">
        <v>4</v>
      </c>
    </row>
    <row r="5" spans="1:19" x14ac:dyDescent="0.25">
      <c r="A5" t="s">
        <v>55</v>
      </c>
      <c r="B5" s="1">
        <v>46028</v>
      </c>
      <c r="C5" t="s">
        <v>56</v>
      </c>
      <c r="D5" t="s">
        <v>57</v>
      </c>
      <c r="E5" t="s">
        <v>35</v>
      </c>
      <c r="F5">
        <v>27</v>
      </c>
      <c r="G5" t="s">
        <v>58</v>
      </c>
      <c r="H5" t="s">
        <v>59</v>
      </c>
      <c r="I5" t="s">
        <v>60</v>
      </c>
      <c r="J5" t="s">
        <v>26</v>
      </c>
      <c r="K5" t="s">
        <v>61</v>
      </c>
      <c r="L5" t="s">
        <v>62</v>
      </c>
      <c r="M5" t="s">
        <v>63</v>
      </c>
      <c r="N5">
        <v>1</v>
      </c>
      <c r="O5">
        <v>8500</v>
      </c>
      <c r="P5">
        <v>0</v>
      </c>
      <c r="Q5" t="s">
        <v>30</v>
      </c>
      <c r="R5" t="s">
        <v>64</v>
      </c>
      <c r="S5">
        <v>3</v>
      </c>
    </row>
    <row r="6" spans="1:19" x14ac:dyDescent="0.25">
      <c r="A6" t="s">
        <v>65</v>
      </c>
      <c r="B6" s="1">
        <v>46029</v>
      </c>
      <c r="C6" t="s">
        <v>66</v>
      </c>
      <c r="D6" t="s">
        <v>67</v>
      </c>
      <c r="E6" t="s">
        <v>22</v>
      </c>
      <c r="F6">
        <v>41</v>
      </c>
      <c r="G6" t="s">
        <v>68</v>
      </c>
      <c r="H6" t="s">
        <v>68</v>
      </c>
      <c r="I6" t="s">
        <v>69</v>
      </c>
      <c r="J6" t="s">
        <v>38</v>
      </c>
      <c r="K6" t="s">
        <v>70</v>
      </c>
      <c r="L6" t="s">
        <v>71</v>
      </c>
      <c r="M6" t="s">
        <v>72</v>
      </c>
      <c r="N6">
        <v>3</v>
      </c>
      <c r="O6">
        <v>1800</v>
      </c>
      <c r="P6">
        <v>0.15</v>
      </c>
      <c r="Q6" t="s">
        <v>41</v>
      </c>
      <c r="R6" t="s">
        <v>31</v>
      </c>
      <c r="S6">
        <v>4</v>
      </c>
    </row>
    <row r="7" spans="1:19" x14ac:dyDescent="0.25">
      <c r="A7" t="s">
        <v>73</v>
      </c>
      <c r="B7" s="1">
        <v>46030</v>
      </c>
      <c r="C7" t="s">
        <v>74</v>
      </c>
      <c r="D7" t="s">
        <v>75</v>
      </c>
      <c r="E7" t="s">
        <v>35</v>
      </c>
      <c r="F7">
        <v>22</v>
      </c>
      <c r="G7" t="s">
        <v>76</v>
      </c>
      <c r="H7" t="s">
        <v>24</v>
      </c>
      <c r="I7" t="s">
        <v>25</v>
      </c>
      <c r="J7" t="s">
        <v>26</v>
      </c>
      <c r="K7" t="s">
        <v>77</v>
      </c>
      <c r="L7" t="s">
        <v>78</v>
      </c>
      <c r="M7" t="s">
        <v>259</v>
      </c>
      <c r="N7">
        <v>1</v>
      </c>
      <c r="O7">
        <v>14000</v>
      </c>
      <c r="P7">
        <v>0.1</v>
      </c>
      <c r="Q7" t="s">
        <v>30</v>
      </c>
      <c r="R7" t="s">
        <v>42</v>
      </c>
      <c r="S7">
        <v>5</v>
      </c>
    </row>
    <row r="8" spans="1:19" x14ac:dyDescent="0.25">
      <c r="A8" t="s">
        <v>79</v>
      </c>
      <c r="B8" s="1">
        <v>46031</v>
      </c>
      <c r="C8" t="s">
        <v>80</v>
      </c>
      <c r="D8" t="s">
        <v>81</v>
      </c>
      <c r="E8" t="s">
        <v>22</v>
      </c>
      <c r="F8">
        <v>31</v>
      </c>
      <c r="G8" t="s">
        <v>258</v>
      </c>
      <c r="H8" t="s">
        <v>24</v>
      </c>
      <c r="I8" t="s">
        <v>37</v>
      </c>
      <c r="J8" t="s">
        <v>38</v>
      </c>
      <c r="K8" t="s">
        <v>82</v>
      </c>
      <c r="L8" t="s">
        <v>83</v>
      </c>
      <c r="M8" t="s">
        <v>52</v>
      </c>
      <c r="N8">
        <v>0</v>
      </c>
      <c r="O8">
        <v>2800</v>
      </c>
      <c r="P8">
        <v>0.05</v>
      </c>
      <c r="Q8" t="s">
        <v>41</v>
      </c>
      <c r="R8" t="s">
        <v>54</v>
      </c>
      <c r="S8">
        <v>4</v>
      </c>
    </row>
    <row r="9" spans="1:19" x14ac:dyDescent="0.25">
      <c r="A9" t="s">
        <v>84</v>
      </c>
      <c r="B9" s="1">
        <v>46032</v>
      </c>
      <c r="C9" t="s">
        <v>85</v>
      </c>
      <c r="D9" t="s">
        <v>86</v>
      </c>
      <c r="E9" t="s">
        <v>35</v>
      </c>
      <c r="F9">
        <v>38</v>
      </c>
      <c r="G9" t="s">
        <v>87</v>
      </c>
      <c r="H9" t="s">
        <v>88</v>
      </c>
      <c r="I9" t="s">
        <v>89</v>
      </c>
      <c r="J9" t="s">
        <v>49</v>
      </c>
      <c r="K9" t="s">
        <v>90</v>
      </c>
      <c r="L9" t="s">
        <v>91</v>
      </c>
      <c r="M9" t="s">
        <v>63</v>
      </c>
      <c r="N9">
        <v>1</v>
      </c>
      <c r="O9">
        <v>7500</v>
      </c>
      <c r="P9">
        <v>0.1</v>
      </c>
      <c r="Q9" t="s">
        <v>30</v>
      </c>
      <c r="R9" t="s">
        <v>64</v>
      </c>
      <c r="S9">
        <v>5</v>
      </c>
    </row>
    <row r="10" spans="1:19" x14ac:dyDescent="0.25">
      <c r="A10" t="s">
        <v>92</v>
      </c>
      <c r="B10" s="1">
        <v>46033</v>
      </c>
      <c r="C10" t="s">
        <v>93</v>
      </c>
      <c r="D10" t="s">
        <v>94</v>
      </c>
      <c r="E10" t="s">
        <v>22</v>
      </c>
      <c r="F10">
        <v>26</v>
      </c>
      <c r="G10" t="s">
        <v>95</v>
      </c>
      <c r="H10" t="s">
        <v>96</v>
      </c>
      <c r="I10" t="s">
        <v>97</v>
      </c>
      <c r="J10" t="s">
        <v>26</v>
      </c>
      <c r="K10" t="s">
        <v>98</v>
      </c>
      <c r="L10" t="s">
        <v>99</v>
      </c>
      <c r="M10" t="s">
        <v>29</v>
      </c>
      <c r="N10">
        <v>2</v>
      </c>
      <c r="O10">
        <v>4500</v>
      </c>
      <c r="P10">
        <v>0.2</v>
      </c>
      <c r="Q10" t="s">
        <v>41</v>
      </c>
      <c r="R10" t="s">
        <v>31</v>
      </c>
      <c r="S10">
        <v>3</v>
      </c>
    </row>
    <row r="11" spans="1:19" x14ac:dyDescent="0.25">
      <c r="A11" t="s">
        <v>100</v>
      </c>
      <c r="B11" s="1">
        <v>46034</v>
      </c>
      <c r="C11" t="s">
        <v>101</v>
      </c>
      <c r="D11" t="s">
        <v>102</v>
      </c>
      <c r="E11" t="s">
        <v>35</v>
      </c>
      <c r="F11">
        <v>33</v>
      </c>
      <c r="G11" t="s">
        <v>103</v>
      </c>
      <c r="H11" t="s">
        <v>104</v>
      </c>
      <c r="I11" t="s">
        <v>105</v>
      </c>
      <c r="J11" t="s">
        <v>38</v>
      </c>
      <c r="K11" t="s">
        <v>106</v>
      </c>
      <c r="L11" t="s">
        <v>107</v>
      </c>
      <c r="M11" t="s">
        <v>72</v>
      </c>
      <c r="N11">
        <v>2</v>
      </c>
      <c r="O11">
        <v>1200</v>
      </c>
      <c r="P11">
        <v>0.05</v>
      </c>
      <c r="Q11" t="s">
        <v>53</v>
      </c>
      <c r="R11" t="s">
        <v>42</v>
      </c>
      <c r="S11">
        <v>4</v>
      </c>
    </row>
    <row r="12" spans="1:19" x14ac:dyDescent="0.25">
      <c r="A12" t="s">
        <v>108</v>
      </c>
      <c r="B12" s="1">
        <v>46035</v>
      </c>
      <c r="C12" t="s">
        <v>109</v>
      </c>
      <c r="D12" t="s">
        <v>110</v>
      </c>
      <c r="E12" t="s">
        <v>22</v>
      </c>
      <c r="F12">
        <v>45</v>
      </c>
      <c r="G12" t="s">
        <v>68</v>
      </c>
      <c r="H12" t="s">
        <v>68</v>
      </c>
      <c r="I12" t="s">
        <v>69</v>
      </c>
      <c r="J12" t="s">
        <v>38</v>
      </c>
      <c r="K12" t="s">
        <v>111</v>
      </c>
      <c r="L12" t="s">
        <v>112</v>
      </c>
      <c r="M12" t="s">
        <v>29</v>
      </c>
      <c r="N12">
        <v>2</v>
      </c>
      <c r="O12">
        <v>1800</v>
      </c>
      <c r="P12">
        <v>0.1</v>
      </c>
      <c r="Q12" t="s">
        <v>30</v>
      </c>
      <c r="R12" t="s">
        <v>54</v>
      </c>
      <c r="S12">
        <v>4</v>
      </c>
    </row>
    <row r="13" spans="1:19" x14ac:dyDescent="0.25">
      <c r="A13" t="s">
        <v>113</v>
      </c>
      <c r="B13" s="1">
        <v>46036</v>
      </c>
      <c r="C13" t="s">
        <v>114</v>
      </c>
      <c r="D13" t="s">
        <v>115</v>
      </c>
      <c r="E13" t="s">
        <v>35</v>
      </c>
      <c r="F13">
        <v>25</v>
      </c>
      <c r="G13" t="s">
        <v>23</v>
      </c>
      <c r="H13" t="s">
        <v>24</v>
      </c>
      <c r="I13" t="s">
        <v>25</v>
      </c>
      <c r="J13" t="s">
        <v>26</v>
      </c>
      <c r="K13" t="s">
        <v>116</v>
      </c>
      <c r="L13" t="s">
        <v>117</v>
      </c>
      <c r="M13" t="s">
        <v>52</v>
      </c>
      <c r="N13">
        <v>1</v>
      </c>
      <c r="O13">
        <v>3600</v>
      </c>
      <c r="P13">
        <v>0.05</v>
      </c>
      <c r="Q13" t="s">
        <v>41</v>
      </c>
      <c r="R13" t="s">
        <v>64</v>
      </c>
      <c r="S13">
        <v>5</v>
      </c>
    </row>
    <row r="14" spans="1:19" x14ac:dyDescent="0.25">
      <c r="A14" t="s">
        <v>118</v>
      </c>
      <c r="B14" s="1">
        <v>46037</v>
      </c>
      <c r="C14" t="s">
        <v>119</v>
      </c>
      <c r="D14" t="s">
        <v>120</v>
      </c>
      <c r="E14" t="s">
        <v>22</v>
      </c>
      <c r="F14">
        <v>30</v>
      </c>
      <c r="G14" t="s">
        <v>121</v>
      </c>
      <c r="H14" t="s">
        <v>122</v>
      </c>
      <c r="I14" t="s">
        <v>123</v>
      </c>
      <c r="J14" t="s">
        <v>49</v>
      </c>
      <c r="K14" t="s">
        <v>124</v>
      </c>
      <c r="L14" t="s">
        <v>125</v>
      </c>
      <c r="M14" t="s">
        <v>63</v>
      </c>
      <c r="N14">
        <v>1</v>
      </c>
      <c r="O14">
        <v>6200</v>
      </c>
      <c r="P14">
        <v>0</v>
      </c>
      <c r="Q14" t="s">
        <v>53</v>
      </c>
      <c r="R14" t="s">
        <v>31</v>
      </c>
      <c r="S14">
        <v>3</v>
      </c>
    </row>
    <row r="15" spans="1:19" x14ac:dyDescent="0.25">
      <c r="A15" t="s">
        <v>126</v>
      </c>
      <c r="B15" s="1">
        <v>46038</v>
      </c>
      <c r="C15" t="s">
        <v>127</v>
      </c>
      <c r="D15" t="s">
        <v>128</v>
      </c>
      <c r="E15" t="s">
        <v>35</v>
      </c>
      <c r="F15">
        <v>28</v>
      </c>
      <c r="G15" t="s">
        <v>129</v>
      </c>
      <c r="H15" t="s">
        <v>130</v>
      </c>
      <c r="I15" t="s">
        <v>131</v>
      </c>
      <c r="J15" t="s">
        <v>26</v>
      </c>
      <c r="K15" t="s">
        <v>132</v>
      </c>
      <c r="L15" t="s">
        <v>133</v>
      </c>
      <c r="M15" t="s">
        <v>72</v>
      </c>
      <c r="N15">
        <v>3</v>
      </c>
      <c r="O15">
        <v>900</v>
      </c>
      <c r="P15">
        <v>0.1</v>
      </c>
      <c r="Q15" t="s">
        <v>30</v>
      </c>
      <c r="R15" t="s">
        <v>42</v>
      </c>
      <c r="S15">
        <v>6</v>
      </c>
    </row>
    <row r="16" spans="1:19" x14ac:dyDescent="0.25">
      <c r="A16" t="s">
        <v>134</v>
      </c>
      <c r="B16" s="1">
        <v>46039</v>
      </c>
      <c r="C16" t="s">
        <v>135</v>
      </c>
      <c r="D16" t="s">
        <v>136</v>
      </c>
      <c r="E16" t="s">
        <v>22</v>
      </c>
      <c r="F16">
        <v>39</v>
      </c>
      <c r="G16" t="s">
        <v>95</v>
      </c>
      <c r="H16" t="s">
        <v>96</v>
      </c>
      <c r="I16" t="s">
        <v>97</v>
      </c>
      <c r="J16" t="s">
        <v>26</v>
      </c>
      <c r="K16" t="s">
        <v>137</v>
      </c>
      <c r="L16" t="s">
        <v>138</v>
      </c>
      <c r="M16" t="s">
        <v>29</v>
      </c>
      <c r="N16">
        <v>4</v>
      </c>
      <c r="O16">
        <v>900</v>
      </c>
      <c r="P16">
        <v>0.05</v>
      </c>
      <c r="Q16" t="s">
        <v>41</v>
      </c>
      <c r="R16" t="s">
        <v>54</v>
      </c>
      <c r="S16">
        <v>4</v>
      </c>
    </row>
    <row r="17" spans="1:19" x14ac:dyDescent="0.25">
      <c r="A17" t="s">
        <v>139</v>
      </c>
      <c r="B17" s="1">
        <v>46040</v>
      </c>
      <c r="C17" t="s">
        <v>140</v>
      </c>
      <c r="D17" t="s">
        <v>261</v>
      </c>
      <c r="E17" t="s">
        <v>35</v>
      </c>
      <c r="F17">
        <v>24</v>
      </c>
      <c r="G17" t="s">
        <v>257</v>
      </c>
      <c r="H17" t="s">
        <v>24</v>
      </c>
      <c r="I17" t="s">
        <v>25</v>
      </c>
      <c r="J17" t="s">
        <v>26</v>
      </c>
      <c r="K17" t="s">
        <v>50</v>
      </c>
      <c r="L17" t="s">
        <v>51</v>
      </c>
      <c r="M17" t="s">
        <v>52</v>
      </c>
      <c r="N17">
        <v>1</v>
      </c>
      <c r="O17">
        <v>3200</v>
      </c>
      <c r="P17">
        <v>0.05</v>
      </c>
      <c r="Q17" t="s">
        <v>30</v>
      </c>
      <c r="R17" t="s">
        <v>64</v>
      </c>
      <c r="S17">
        <v>5</v>
      </c>
    </row>
    <row r="18" spans="1:19" x14ac:dyDescent="0.25">
      <c r="A18" t="s">
        <v>142</v>
      </c>
      <c r="B18" s="1">
        <v>46041</v>
      </c>
      <c r="C18" t="s">
        <v>143</v>
      </c>
      <c r="D18" t="s">
        <v>144</v>
      </c>
      <c r="E18" t="s">
        <v>22</v>
      </c>
      <c r="F18">
        <v>36</v>
      </c>
      <c r="G18" t="s">
        <v>68</v>
      </c>
      <c r="H18" t="s">
        <v>68</v>
      </c>
      <c r="I18" t="s">
        <v>69</v>
      </c>
      <c r="J18" t="s">
        <v>38</v>
      </c>
      <c r="K18" t="s">
        <v>145</v>
      </c>
      <c r="L18" t="s">
        <v>146</v>
      </c>
      <c r="M18" t="s">
        <v>63</v>
      </c>
      <c r="N18">
        <v>1</v>
      </c>
      <c r="O18">
        <v>9500</v>
      </c>
      <c r="P18">
        <v>0.15</v>
      </c>
      <c r="Q18" t="s">
        <v>41</v>
      </c>
      <c r="R18" t="s">
        <v>31</v>
      </c>
      <c r="S18">
        <v>3</v>
      </c>
    </row>
    <row r="19" spans="1:19" x14ac:dyDescent="0.25">
      <c r="A19" t="s">
        <v>147</v>
      </c>
      <c r="B19" s="1">
        <v>46042</v>
      </c>
      <c r="C19" t="s">
        <v>148</v>
      </c>
      <c r="D19" t="s">
        <v>149</v>
      </c>
      <c r="E19" t="s">
        <v>35</v>
      </c>
      <c r="G19" t="s">
        <v>150</v>
      </c>
      <c r="H19" t="s">
        <v>151</v>
      </c>
      <c r="I19" t="s">
        <v>152</v>
      </c>
      <c r="J19" t="s">
        <v>49</v>
      </c>
      <c r="K19" t="s">
        <v>153</v>
      </c>
      <c r="L19" t="s">
        <v>154</v>
      </c>
      <c r="M19" t="s">
        <v>72</v>
      </c>
      <c r="N19">
        <v>2</v>
      </c>
      <c r="O19">
        <v>2400</v>
      </c>
      <c r="P19">
        <v>0.1</v>
      </c>
      <c r="Q19" t="s">
        <v>30</v>
      </c>
      <c r="R19" t="s">
        <v>42</v>
      </c>
      <c r="S19">
        <v>4</v>
      </c>
    </row>
    <row r="20" spans="1:19" x14ac:dyDescent="0.25">
      <c r="A20" t="s">
        <v>155</v>
      </c>
      <c r="B20" s="1">
        <v>46043</v>
      </c>
      <c r="C20" t="s">
        <v>156</v>
      </c>
      <c r="D20" t="s">
        <v>157</v>
      </c>
      <c r="E20" t="s">
        <v>22</v>
      </c>
      <c r="F20">
        <v>29</v>
      </c>
      <c r="G20" t="s">
        <v>258</v>
      </c>
      <c r="H20" t="s">
        <v>24</v>
      </c>
      <c r="I20" t="s">
        <v>37</v>
      </c>
      <c r="J20" t="s">
        <v>38</v>
      </c>
      <c r="K20" t="s">
        <v>39</v>
      </c>
      <c r="L20" t="s">
        <v>40</v>
      </c>
      <c r="M20" t="s">
        <v>29</v>
      </c>
      <c r="N20">
        <v>1</v>
      </c>
      <c r="O20">
        <v>2500</v>
      </c>
      <c r="P20">
        <v>0.05</v>
      </c>
      <c r="Q20" t="s">
        <v>41</v>
      </c>
      <c r="R20" t="s">
        <v>54</v>
      </c>
      <c r="S20">
        <v>5</v>
      </c>
    </row>
    <row r="21" spans="1:19" x14ac:dyDescent="0.25">
      <c r="A21" t="s">
        <v>158</v>
      </c>
      <c r="B21" s="1">
        <v>46044</v>
      </c>
      <c r="C21" t="s">
        <v>159</v>
      </c>
      <c r="D21" t="s">
        <v>160</v>
      </c>
      <c r="E21" t="s">
        <v>35</v>
      </c>
      <c r="F21">
        <v>26</v>
      </c>
      <c r="G21" t="s">
        <v>150</v>
      </c>
      <c r="H21" t="s">
        <v>151</v>
      </c>
      <c r="I21" t="s">
        <v>152</v>
      </c>
      <c r="J21" t="s">
        <v>49</v>
      </c>
      <c r="K21" t="s">
        <v>161</v>
      </c>
      <c r="L21" t="s">
        <v>162</v>
      </c>
      <c r="M21" t="s">
        <v>72</v>
      </c>
      <c r="N21">
        <v>2</v>
      </c>
      <c r="O21">
        <v>1500</v>
      </c>
      <c r="P21">
        <v>0.2</v>
      </c>
      <c r="Q21" t="s">
        <v>53</v>
      </c>
      <c r="R21" t="s">
        <v>64</v>
      </c>
      <c r="S21">
        <v>3</v>
      </c>
    </row>
    <row r="22" spans="1:19" x14ac:dyDescent="0.25">
      <c r="A22" t="s">
        <v>163</v>
      </c>
      <c r="B22" s="1">
        <v>46045</v>
      </c>
      <c r="C22" t="s">
        <v>164</v>
      </c>
      <c r="D22" t="s">
        <v>165</v>
      </c>
      <c r="E22" t="s">
        <v>22</v>
      </c>
      <c r="F22">
        <v>42</v>
      </c>
      <c r="G22" t="s">
        <v>166</v>
      </c>
      <c r="H22" t="s">
        <v>122</v>
      </c>
      <c r="I22" t="s">
        <v>167</v>
      </c>
      <c r="J22" t="s">
        <v>26</v>
      </c>
      <c r="K22" t="s">
        <v>27</v>
      </c>
      <c r="L22" t="s">
        <v>28</v>
      </c>
      <c r="M22" t="s">
        <v>29</v>
      </c>
      <c r="N22">
        <v>1</v>
      </c>
      <c r="O22">
        <v>55000</v>
      </c>
      <c r="P22">
        <v>0.1</v>
      </c>
      <c r="Q22" t="s">
        <v>30</v>
      </c>
      <c r="R22" t="s">
        <v>31</v>
      </c>
      <c r="S22">
        <v>5</v>
      </c>
    </row>
    <row r="23" spans="1:19" x14ac:dyDescent="0.25">
      <c r="A23" t="s">
        <v>168</v>
      </c>
      <c r="B23" s="1">
        <v>46046</v>
      </c>
      <c r="C23" t="s">
        <v>169</v>
      </c>
      <c r="D23" t="s">
        <v>170</v>
      </c>
      <c r="E23" t="s">
        <v>35</v>
      </c>
      <c r="F23">
        <v>31</v>
      </c>
      <c r="G23" t="s">
        <v>171</v>
      </c>
      <c r="H23" t="s">
        <v>172</v>
      </c>
      <c r="I23" t="s">
        <v>173</v>
      </c>
      <c r="J23" t="s">
        <v>38</v>
      </c>
      <c r="K23" t="s">
        <v>82</v>
      </c>
      <c r="L23" t="s">
        <v>83</v>
      </c>
      <c r="M23" t="s">
        <v>52</v>
      </c>
      <c r="N23">
        <v>1</v>
      </c>
      <c r="O23">
        <v>2800</v>
      </c>
      <c r="P23">
        <v>0.05</v>
      </c>
      <c r="Q23" t="s">
        <v>41</v>
      </c>
      <c r="R23" t="s">
        <v>42</v>
      </c>
      <c r="S23">
        <v>4</v>
      </c>
    </row>
    <row r="24" spans="1:19" x14ac:dyDescent="0.25">
      <c r="A24" t="s">
        <v>174</v>
      </c>
      <c r="B24" s="1">
        <v>46047</v>
      </c>
      <c r="C24" t="s">
        <v>175</v>
      </c>
      <c r="D24" t="s">
        <v>176</v>
      </c>
      <c r="E24" t="s">
        <v>22</v>
      </c>
      <c r="F24">
        <v>37</v>
      </c>
      <c r="G24" t="s">
        <v>68</v>
      </c>
      <c r="H24" t="s">
        <v>68</v>
      </c>
      <c r="I24" t="s">
        <v>69</v>
      </c>
      <c r="J24" t="s">
        <v>38</v>
      </c>
      <c r="K24" t="s">
        <v>90</v>
      </c>
      <c r="L24" t="s">
        <v>91</v>
      </c>
      <c r="M24" t="s">
        <v>63</v>
      </c>
      <c r="N24">
        <v>1</v>
      </c>
      <c r="O24">
        <v>7500</v>
      </c>
      <c r="P24">
        <v>0.1</v>
      </c>
      <c r="Q24" t="s">
        <v>30</v>
      </c>
      <c r="R24" t="s">
        <v>54</v>
      </c>
      <c r="S24">
        <v>4</v>
      </c>
    </row>
    <row r="25" spans="1:19" x14ac:dyDescent="0.25">
      <c r="A25" t="s">
        <v>177</v>
      </c>
      <c r="B25" s="1">
        <v>46048</v>
      </c>
      <c r="C25" t="s">
        <v>178</v>
      </c>
      <c r="D25" t="s">
        <v>179</v>
      </c>
      <c r="E25" t="s">
        <v>35</v>
      </c>
      <c r="F25">
        <v>34</v>
      </c>
      <c r="G25" t="s">
        <v>150</v>
      </c>
      <c r="H25" t="s">
        <v>151</v>
      </c>
      <c r="I25" t="s">
        <v>152</v>
      </c>
      <c r="J25" t="s">
        <v>49</v>
      </c>
      <c r="K25" t="s">
        <v>106</v>
      </c>
      <c r="L25" t="s">
        <v>107</v>
      </c>
      <c r="M25" t="s">
        <v>72</v>
      </c>
      <c r="N25">
        <v>4</v>
      </c>
      <c r="O25">
        <v>1200</v>
      </c>
      <c r="P25">
        <v>0.05</v>
      </c>
      <c r="Q25" t="s">
        <v>53</v>
      </c>
      <c r="R25" t="s">
        <v>64</v>
      </c>
      <c r="S25">
        <v>5</v>
      </c>
    </row>
    <row r="26" spans="1:19" x14ac:dyDescent="0.25">
      <c r="A26" t="s">
        <v>180</v>
      </c>
      <c r="B26" s="1">
        <v>46049</v>
      </c>
      <c r="C26" t="s">
        <v>181</v>
      </c>
      <c r="D26" t="s">
        <v>262</v>
      </c>
      <c r="E26" t="s">
        <v>22</v>
      </c>
      <c r="F26">
        <v>28</v>
      </c>
      <c r="G26" t="s">
        <v>46</v>
      </c>
      <c r="H26" t="s">
        <v>47</v>
      </c>
      <c r="I26" t="s">
        <v>48</v>
      </c>
      <c r="J26" t="s">
        <v>49</v>
      </c>
      <c r="K26" t="s">
        <v>77</v>
      </c>
      <c r="L26" t="s">
        <v>78</v>
      </c>
      <c r="M26" t="s">
        <v>29</v>
      </c>
      <c r="N26">
        <v>1</v>
      </c>
      <c r="O26">
        <v>14000</v>
      </c>
      <c r="P26">
        <v>0.15</v>
      </c>
      <c r="Q26" t="s">
        <v>41</v>
      </c>
      <c r="R26" t="s">
        <v>31</v>
      </c>
      <c r="S26">
        <v>3</v>
      </c>
    </row>
    <row r="27" spans="1:19" x14ac:dyDescent="0.25">
      <c r="A27" t="s">
        <v>183</v>
      </c>
      <c r="B27" s="1">
        <v>46050</v>
      </c>
      <c r="C27" t="s">
        <v>184</v>
      </c>
      <c r="D27" t="s">
        <v>185</v>
      </c>
      <c r="E27" t="s">
        <v>35</v>
      </c>
      <c r="F27">
        <v>23</v>
      </c>
      <c r="G27" t="s">
        <v>36</v>
      </c>
      <c r="H27" t="s">
        <v>24</v>
      </c>
      <c r="I27" t="s">
        <v>37</v>
      </c>
      <c r="J27" t="s">
        <v>38</v>
      </c>
      <c r="K27" t="s">
        <v>98</v>
      </c>
      <c r="L27" t="s">
        <v>99</v>
      </c>
      <c r="M27" t="s">
        <v>29</v>
      </c>
      <c r="N27">
        <v>1</v>
      </c>
      <c r="O27">
        <v>4500</v>
      </c>
      <c r="Q27" t="s">
        <v>30</v>
      </c>
      <c r="R27" t="s">
        <v>42</v>
      </c>
      <c r="S27">
        <v>4</v>
      </c>
    </row>
    <row r="28" spans="1:19" x14ac:dyDescent="0.25">
      <c r="A28" t="s">
        <v>186</v>
      </c>
      <c r="B28" s="1">
        <v>46051</v>
      </c>
      <c r="C28" t="s">
        <v>187</v>
      </c>
      <c r="D28" t="s">
        <v>188</v>
      </c>
      <c r="E28" t="s">
        <v>22</v>
      </c>
      <c r="F28">
        <v>40</v>
      </c>
      <c r="G28" t="s">
        <v>58</v>
      </c>
      <c r="H28" t="s">
        <v>59</v>
      </c>
      <c r="I28" t="s">
        <v>60</v>
      </c>
      <c r="J28" t="s">
        <v>26</v>
      </c>
      <c r="K28" t="s">
        <v>61</v>
      </c>
      <c r="L28" t="s">
        <v>62</v>
      </c>
      <c r="M28" t="s">
        <v>63</v>
      </c>
      <c r="N28">
        <v>2</v>
      </c>
      <c r="O28">
        <v>8500</v>
      </c>
      <c r="P28">
        <v>0.1</v>
      </c>
      <c r="Q28" t="s">
        <v>41</v>
      </c>
      <c r="R28" t="s">
        <v>54</v>
      </c>
      <c r="S28">
        <v>5</v>
      </c>
    </row>
    <row r="29" spans="1:19" x14ac:dyDescent="0.25">
      <c r="A29" t="s">
        <v>189</v>
      </c>
      <c r="B29" s="1">
        <v>46052</v>
      </c>
      <c r="C29" t="s">
        <v>190</v>
      </c>
      <c r="D29" t="s">
        <v>191</v>
      </c>
      <c r="E29" t="s">
        <v>35</v>
      </c>
      <c r="F29">
        <v>27</v>
      </c>
      <c r="G29" t="s">
        <v>87</v>
      </c>
      <c r="H29" t="s">
        <v>88</v>
      </c>
      <c r="I29" t="s">
        <v>89</v>
      </c>
      <c r="J29" t="s">
        <v>49</v>
      </c>
      <c r="K29" t="s">
        <v>70</v>
      </c>
      <c r="L29" t="s">
        <v>71</v>
      </c>
      <c r="M29" t="s">
        <v>72</v>
      </c>
      <c r="N29">
        <v>2</v>
      </c>
      <c r="O29">
        <v>1800</v>
      </c>
      <c r="P29">
        <v>0.05</v>
      </c>
      <c r="Q29" t="s">
        <v>30</v>
      </c>
      <c r="R29" t="s">
        <v>64</v>
      </c>
      <c r="S29">
        <v>4</v>
      </c>
    </row>
    <row r="30" spans="1:19" x14ac:dyDescent="0.25">
      <c r="A30" t="s">
        <v>192</v>
      </c>
      <c r="B30" s="1">
        <v>46053</v>
      </c>
      <c r="C30" t="s">
        <v>193</v>
      </c>
      <c r="D30" t="s">
        <v>194</v>
      </c>
      <c r="E30" t="s">
        <v>22</v>
      </c>
      <c r="F30">
        <v>33</v>
      </c>
      <c r="G30" t="s">
        <v>121</v>
      </c>
      <c r="H30" t="s">
        <v>122</v>
      </c>
      <c r="I30" t="s">
        <v>123</v>
      </c>
      <c r="J30" t="s">
        <v>49</v>
      </c>
      <c r="K30" t="s">
        <v>116</v>
      </c>
      <c r="L30" t="s">
        <v>117</v>
      </c>
      <c r="M30" t="s">
        <v>52</v>
      </c>
      <c r="N30">
        <v>1</v>
      </c>
      <c r="O30">
        <v>3600</v>
      </c>
      <c r="P30">
        <v>0.1</v>
      </c>
      <c r="Q30" t="s">
        <v>41</v>
      </c>
      <c r="R30" t="s">
        <v>31</v>
      </c>
      <c r="S30">
        <v>3</v>
      </c>
    </row>
    <row r="31" spans="1:19" x14ac:dyDescent="0.25">
      <c r="A31" t="s">
        <v>195</v>
      </c>
      <c r="B31" s="1">
        <v>46054</v>
      </c>
      <c r="C31" t="s">
        <v>196</v>
      </c>
      <c r="D31" t="s">
        <v>197</v>
      </c>
      <c r="E31" t="s">
        <v>35</v>
      </c>
      <c r="F31">
        <v>29</v>
      </c>
      <c r="G31" t="s">
        <v>129</v>
      </c>
      <c r="H31" t="s">
        <v>130</v>
      </c>
      <c r="I31" t="s">
        <v>131</v>
      </c>
      <c r="J31" t="s">
        <v>26</v>
      </c>
      <c r="K31" t="s">
        <v>132</v>
      </c>
      <c r="L31" t="s">
        <v>133</v>
      </c>
      <c r="M31" t="s">
        <v>72</v>
      </c>
      <c r="N31">
        <v>2</v>
      </c>
      <c r="O31">
        <v>900</v>
      </c>
      <c r="P31">
        <v>0.05</v>
      </c>
      <c r="Q31" t="s">
        <v>53</v>
      </c>
      <c r="R31" t="s">
        <v>42</v>
      </c>
      <c r="S31">
        <v>4</v>
      </c>
    </row>
    <row r="32" spans="1:19" x14ac:dyDescent="0.25">
      <c r="A32" t="s">
        <v>198</v>
      </c>
      <c r="B32" s="1">
        <v>46055</v>
      </c>
      <c r="C32" t="s">
        <v>199</v>
      </c>
      <c r="D32" t="s">
        <v>200</v>
      </c>
      <c r="E32" t="s">
        <v>22</v>
      </c>
      <c r="F32">
        <v>44</v>
      </c>
      <c r="G32" t="s">
        <v>68</v>
      </c>
      <c r="H32" t="s">
        <v>68</v>
      </c>
      <c r="I32" t="s">
        <v>69</v>
      </c>
      <c r="J32" t="s">
        <v>38</v>
      </c>
      <c r="K32" t="s">
        <v>111</v>
      </c>
      <c r="L32" t="s">
        <v>112</v>
      </c>
      <c r="M32" t="s">
        <v>29</v>
      </c>
      <c r="N32">
        <v>3</v>
      </c>
      <c r="O32">
        <v>1800</v>
      </c>
      <c r="P32">
        <v>0.05</v>
      </c>
      <c r="Q32" t="s">
        <v>30</v>
      </c>
      <c r="R32" t="s">
        <v>54</v>
      </c>
      <c r="S32">
        <v>5</v>
      </c>
    </row>
    <row r="33" spans="1:19" x14ac:dyDescent="0.25">
      <c r="A33" t="s">
        <v>201</v>
      </c>
      <c r="B33" s="1">
        <v>46056</v>
      </c>
      <c r="C33" t="s">
        <v>202</v>
      </c>
      <c r="D33" t="s">
        <v>203</v>
      </c>
      <c r="E33" t="s">
        <v>35</v>
      </c>
      <c r="F33">
        <v>26</v>
      </c>
      <c r="H33" t="s">
        <v>24</v>
      </c>
      <c r="I33" t="s">
        <v>25</v>
      </c>
      <c r="J33" t="s">
        <v>26</v>
      </c>
      <c r="K33" t="s">
        <v>137</v>
      </c>
      <c r="L33" t="s">
        <v>138</v>
      </c>
      <c r="M33" t="s">
        <v>29</v>
      </c>
      <c r="N33">
        <v>2</v>
      </c>
      <c r="O33">
        <v>900</v>
      </c>
      <c r="P33">
        <v>0.1</v>
      </c>
      <c r="Q33" t="s">
        <v>41</v>
      </c>
      <c r="R33" t="s">
        <v>64</v>
      </c>
      <c r="S33">
        <v>4</v>
      </c>
    </row>
    <row r="34" spans="1:19" x14ac:dyDescent="0.25">
      <c r="A34" t="s">
        <v>204</v>
      </c>
      <c r="B34" s="1">
        <v>46057</v>
      </c>
      <c r="C34" t="s">
        <v>205</v>
      </c>
      <c r="D34" t="s">
        <v>206</v>
      </c>
      <c r="E34" t="s">
        <v>22</v>
      </c>
      <c r="F34">
        <v>52</v>
      </c>
      <c r="G34" t="s">
        <v>36</v>
      </c>
      <c r="H34" t="s">
        <v>24</v>
      </c>
      <c r="I34" t="s">
        <v>37</v>
      </c>
      <c r="J34" t="s">
        <v>38</v>
      </c>
      <c r="K34" t="s">
        <v>27</v>
      </c>
      <c r="L34" t="s">
        <v>28</v>
      </c>
      <c r="M34" t="s">
        <v>29</v>
      </c>
      <c r="N34">
        <v>1</v>
      </c>
      <c r="O34">
        <v>55000</v>
      </c>
      <c r="P34">
        <v>0.15</v>
      </c>
      <c r="Q34" t="s">
        <v>30</v>
      </c>
      <c r="R34" t="s">
        <v>31</v>
      </c>
      <c r="S34">
        <v>5</v>
      </c>
    </row>
    <row r="35" spans="1:19" x14ac:dyDescent="0.25">
      <c r="A35" t="s">
        <v>207</v>
      </c>
      <c r="B35" s="1">
        <v>46058</v>
      </c>
      <c r="C35" t="s">
        <v>208</v>
      </c>
      <c r="D35" t="s">
        <v>209</v>
      </c>
      <c r="E35" t="s">
        <v>35</v>
      </c>
      <c r="F35">
        <v>30</v>
      </c>
      <c r="G35" t="s">
        <v>58</v>
      </c>
      <c r="H35" t="s">
        <v>59</v>
      </c>
      <c r="I35" t="s">
        <v>60</v>
      </c>
      <c r="J35" t="s">
        <v>26</v>
      </c>
      <c r="K35" t="s">
        <v>82</v>
      </c>
      <c r="L35" t="s">
        <v>83</v>
      </c>
      <c r="M35" t="s">
        <v>52</v>
      </c>
      <c r="N35">
        <v>2</v>
      </c>
      <c r="O35">
        <v>2800</v>
      </c>
      <c r="P35">
        <v>0.05</v>
      </c>
      <c r="Q35" t="s">
        <v>41</v>
      </c>
      <c r="R35" t="s">
        <v>42</v>
      </c>
      <c r="S35">
        <v>4</v>
      </c>
    </row>
    <row r="36" spans="1:19" x14ac:dyDescent="0.25">
      <c r="A36" t="s">
        <v>210</v>
      </c>
      <c r="B36" s="1">
        <v>46059</v>
      </c>
      <c r="C36" t="s">
        <v>211</v>
      </c>
      <c r="D36" t="s">
        <v>263</v>
      </c>
      <c r="E36" t="s">
        <v>22</v>
      </c>
      <c r="F36">
        <v>25</v>
      </c>
      <c r="G36" t="s">
        <v>95</v>
      </c>
      <c r="H36" t="s">
        <v>96</v>
      </c>
      <c r="I36" t="s">
        <v>97</v>
      </c>
      <c r="J36" t="s">
        <v>26</v>
      </c>
      <c r="K36" t="s">
        <v>161</v>
      </c>
      <c r="L36" t="s">
        <v>162</v>
      </c>
      <c r="M36" t="s">
        <v>72</v>
      </c>
      <c r="N36">
        <v>-3</v>
      </c>
      <c r="O36">
        <v>1500</v>
      </c>
      <c r="P36">
        <v>0.1</v>
      </c>
      <c r="Q36" t="s">
        <v>53</v>
      </c>
      <c r="R36" t="s">
        <v>54</v>
      </c>
      <c r="S36">
        <v>3</v>
      </c>
    </row>
    <row r="37" spans="1:19" x14ac:dyDescent="0.25">
      <c r="A37" t="s">
        <v>212</v>
      </c>
      <c r="B37" s="1">
        <v>46060</v>
      </c>
      <c r="C37" t="s">
        <v>213</v>
      </c>
      <c r="D37" t="s">
        <v>214</v>
      </c>
      <c r="E37" t="s">
        <v>35</v>
      </c>
      <c r="F37">
        <v>36</v>
      </c>
      <c r="G37" t="s">
        <v>257</v>
      </c>
      <c r="H37" t="s">
        <v>24</v>
      </c>
      <c r="I37" t="s">
        <v>25</v>
      </c>
      <c r="J37" t="s">
        <v>26</v>
      </c>
      <c r="K37" t="s">
        <v>90</v>
      </c>
      <c r="L37" t="s">
        <v>91</v>
      </c>
      <c r="M37" t="s">
        <v>63</v>
      </c>
      <c r="N37">
        <v>1</v>
      </c>
      <c r="O37">
        <v>7500</v>
      </c>
      <c r="P37">
        <v>0.05</v>
      </c>
      <c r="Q37" t="s">
        <v>30</v>
      </c>
      <c r="R37" t="s">
        <v>64</v>
      </c>
      <c r="S37">
        <v>5</v>
      </c>
    </row>
    <row r="38" spans="1:19" x14ac:dyDescent="0.25">
      <c r="A38" t="s">
        <v>215</v>
      </c>
      <c r="B38" s="1">
        <v>46061</v>
      </c>
      <c r="C38" t="s">
        <v>216</v>
      </c>
      <c r="D38" t="s">
        <v>217</v>
      </c>
      <c r="E38" t="s">
        <v>22</v>
      </c>
      <c r="F38">
        <v>39</v>
      </c>
      <c r="G38" t="s">
        <v>68</v>
      </c>
      <c r="H38" t="s">
        <v>68</v>
      </c>
      <c r="I38" t="s">
        <v>69</v>
      </c>
      <c r="J38" t="s">
        <v>38</v>
      </c>
      <c r="K38" t="s">
        <v>98</v>
      </c>
      <c r="L38" t="s">
        <v>99</v>
      </c>
      <c r="M38" t="s">
        <v>29</v>
      </c>
      <c r="N38">
        <v>2</v>
      </c>
      <c r="O38">
        <v>4500</v>
      </c>
      <c r="P38">
        <v>0.2</v>
      </c>
      <c r="Q38" t="s">
        <v>41</v>
      </c>
      <c r="R38" t="s">
        <v>31</v>
      </c>
      <c r="S38">
        <v>4</v>
      </c>
    </row>
    <row r="39" spans="1:19" x14ac:dyDescent="0.25">
      <c r="A39" t="s">
        <v>218</v>
      </c>
      <c r="B39" s="1">
        <v>46062</v>
      </c>
      <c r="C39" t="s">
        <v>219</v>
      </c>
      <c r="D39" t="s">
        <v>220</v>
      </c>
      <c r="E39" t="s">
        <v>35</v>
      </c>
      <c r="F39">
        <v>28</v>
      </c>
      <c r="G39" t="s">
        <v>150</v>
      </c>
      <c r="H39" t="s">
        <v>151</v>
      </c>
      <c r="I39" t="s">
        <v>152</v>
      </c>
      <c r="J39" t="s">
        <v>49</v>
      </c>
      <c r="K39" t="s">
        <v>153</v>
      </c>
      <c r="L39" t="s">
        <v>154</v>
      </c>
      <c r="M39" t="s">
        <v>72</v>
      </c>
      <c r="N39">
        <v>1</v>
      </c>
      <c r="O39">
        <v>2400</v>
      </c>
      <c r="P39">
        <v>0.1</v>
      </c>
      <c r="Q39" t="s">
        <v>30</v>
      </c>
      <c r="R39" t="s">
        <v>42</v>
      </c>
      <c r="S39">
        <v>5</v>
      </c>
    </row>
    <row r="40" spans="1:19" x14ac:dyDescent="0.25">
      <c r="A40" t="s">
        <v>221</v>
      </c>
      <c r="B40" s="1">
        <v>46063</v>
      </c>
      <c r="C40" t="s">
        <v>222</v>
      </c>
      <c r="D40" t="s">
        <v>223</v>
      </c>
      <c r="E40" t="s">
        <v>22</v>
      </c>
      <c r="F40">
        <v>43</v>
      </c>
      <c r="G40" t="s">
        <v>36</v>
      </c>
      <c r="H40" t="s">
        <v>24</v>
      </c>
      <c r="I40" t="s">
        <v>37</v>
      </c>
      <c r="J40" t="s">
        <v>38</v>
      </c>
      <c r="K40" t="s">
        <v>39</v>
      </c>
      <c r="L40" t="s">
        <v>40</v>
      </c>
      <c r="M40" t="s">
        <v>260</v>
      </c>
      <c r="N40">
        <v>2</v>
      </c>
      <c r="O40">
        <v>2500</v>
      </c>
      <c r="P40">
        <v>0.05</v>
      </c>
      <c r="Q40" t="s">
        <v>41</v>
      </c>
      <c r="R40" t="s">
        <v>54</v>
      </c>
      <c r="S40">
        <v>4</v>
      </c>
    </row>
    <row r="41" spans="1:19" x14ac:dyDescent="0.25">
      <c r="A41" t="s">
        <v>224</v>
      </c>
      <c r="B41" s="1">
        <v>46064</v>
      </c>
      <c r="C41" t="s">
        <v>225</v>
      </c>
      <c r="D41" t="s">
        <v>226</v>
      </c>
      <c r="E41" t="s">
        <v>35</v>
      </c>
      <c r="F41">
        <v>24</v>
      </c>
      <c r="G41" t="s">
        <v>171</v>
      </c>
      <c r="H41" t="s">
        <v>172</v>
      </c>
      <c r="I41" t="s">
        <v>173</v>
      </c>
      <c r="J41" t="s">
        <v>38</v>
      </c>
      <c r="K41" t="s">
        <v>50</v>
      </c>
      <c r="L41" t="s">
        <v>51</v>
      </c>
      <c r="M41" t="s">
        <v>52</v>
      </c>
      <c r="N41">
        <v>1</v>
      </c>
      <c r="O41">
        <v>3200</v>
      </c>
      <c r="P41">
        <v>0.1</v>
      </c>
      <c r="Q41" t="s">
        <v>30</v>
      </c>
      <c r="R41" t="s">
        <v>64</v>
      </c>
      <c r="S41">
        <v>3</v>
      </c>
    </row>
    <row r="42" spans="1:19" x14ac:dyDescent="0.25">
      <c r="A42" t="s">
        <v>227</v>
      </c>
      <c r="B42" s="1">
        <v>46065</v>
      </c>
      <c r="C42" t="s">
        <v>228</v>
      </c>
      <c r="D42" t="s">
        <v>229</v>
      </c>
      <c r="E42" t="s">
        <v>22</v>
      </c>
      <c r="F42">
        <v>35</v>
      </c>
      <c r="G42" t="s">
        <v>166</v>
      </c>
      <c r="H42" t="s">
        <v>122</v>
      </c>
      <c r="I42" t="s">
        <v>167</v>
      </c>
      <c r="J42" t="s">
        <v>26</v>
      </c>
      <c r="K42" t="s">
        <v>145</v>
      </c>
      <c r="L42" t="s">
        <v>146</v>
      </c>
      <c r="M42" t="s">
        <v>63</v>
      </c>
      <c r="N42">
        <v>1</v>
      </c>
      <c r="O42">
        <v>9500</v>
      </c>
      <c r="P42">
        <v>0.15</v>
      </c>
      <c r="Q42" t="s">
        <v>41</v>
      </c>
      <c r="R42" t="s">
        <v>31</v>
      </c>
      <c r="S42">
        <v>4</v>
      </c>
    </row>
    <row r="43" spans="1:19" x14ac:dyDescent="0.25">
      <c r="A43" t="s">
        <v>230</v>
      </c>
      <c r="B43" s="1">
        <v>46066</v>
      </c>
      <c r="C43" t="s">
        <v>231</v>
      </c>
      <c r="D43" t="s">
        <v>232</v>
      </c>
      <c r="E43" t="s">
        <v>35</v>
      </c>
      <c r="F43">
        <v>27</v>
      </c>
      <c r="G43" t="s">
        <v>23</v>
      </c>
      <c r="H43" t="s">
        <v>24</v>
      </c>
      <c r="I43" t="s">
        <v>25</v>
      </c>
      <c r="J43" t="s">
        <v>26</v>
      </c>
      <c r="K43" t="s">
        <v>132</v>
      </c>
      <c r="L43" t="s">
        <v>133</v>
      </c>
      <c r="M43" t="s">
        <v>72</v>
      </c>
      <c r="N43">
        <v>3</v>
      </c>
      <c r="O43">
        <v>900</v>
      </c>
      <c r="P43">
        <v>0.05</v>
      </c>
      <c r="Q43" t="s">
        <v>30</v>
      </c>
      <c r="R43" t="s">
        <v>42</v>
      </c>
      <c r="S43">
        <v>5</v>
      </c>
    </row>
    <row r="44" spans="1:19" x14ac:dyDescent="0.25">
      <c r="A44" t="s">
        <v>233</v>
      </c>
      <c r="B44" s="1">
        <v>46067</v>
      </c>
      <c r="C44" t="s">
        <v>234</v>
      </c>
      <c r="D44" t="s">
        <v>235</v>
      </c>
      <c r="E44" t="s">
        <v>22</v>
      </c>
      <c r="F44">
        <v>48</v>
      </c>
      <c r="G44" t="s">
        <v>46</v>
      </c>
      <c r="H44" t="s">
        <v>47</v>
      </c>
      <c r="I44" t="s">
        <v>48</v>
      </c>
      <c r="J44" t="s">
        <v>49</v>
      </c>
      <c r="K44" t="s">
        <v>77</v>
      </c>
      <c r="L44" t="s">
        <v>78</v>
      </c>
      <c r="M44" t="s">
        <v>29</v>
      </c>
      <c r="N44">
        <v>2</v>
      </c>
      <c r="O44">
        <v>14000</v>
      </c>
      <c r="P44">
        <v>0.1</v>
      </c>
      <c r="Q44" t="s">
        <v>41</v>
      </c>
      <c r="R44" t="s">
        <v>54</v>
      </c>
      <c r="S44">
        <v>4</v>
      </c>
    </row>
    <row r="45" spans="1:19" x14ac:dyDescent="0.25">
      <c r="A45" t="s">
        <v>236</v>
      </c>
      <c r="B45" s="1">
        <v>46068</v>
      </c>
      <c r="C45" t="s">
        <v>237</v>
      </c>
      <c r="D45" t="s">
        <v>238</v>
      </c>
      <c r="E45" t="s">
        <v>35</v>
      </c>
      <c r="F45">
        <v>32</v>
      </c>
      <c r="G45" t="s">
        <v>58</v>
      </c>
      <c r="H45" t="s">
        <v>59</v>
      </c>
      <c r="I45" t="s">
        <v>60</v>
      </c>
      <c r="J45" t="s">
        <v>26</v>
      </c>
      <c r="K45" t="s">
        <v>61</v>
      </c>
      <c r="L45" t="s">
        <v>62</v>
      </c>
      <c r="M45" t="s">
        <v>63</v>
      </c>
      <c r="N45">
        <v>1</v>
      </c>
      <c r="O45">
        <v>8500</v>
      </c>
      <c r="P45">
        <v>0.05</v>
      </c>
      <c r="Q45" t="s">
        <v>30</v>
      </c>
      <c r="R45" t="s">
        <v>64</v>
      </c>
      <c r="S45">
        <v>5</v>
      </c>
    </row>
    <row r="46" spans="1:19" x14ac:dyDescent="0.25">
      <c r="A46" t="s">
        <v>239</v>
      </c>
      <c r="B46" s="1">
        <v>46069</v>
      </c>
      <c r="C46" t="s">
        <v>240</v>
      </c>
      <c r="D46" t="s">
        <v>241</v>
      </c>
      <c r="E46" t="s">
        <v>22</v>
      </c>
      <c r="F46">
        <v>29</v>
      </c>
      <c r="G46" t="s">
        <v>68</v>
      </c>
      <c r="H46" t="s">
        <v>68</v>
      </c>
      <c r="I46" t="s">
        <v>69</v>
      </c>
      <c r="J46" t="s">
        <v>38</v>
      </c>
      <c r="K46" t="s">
        <v>106</v>
      </c>
      <c r="L46" t="s">
        <v>107</v>
      </c>
      <c r="M46" t="s">
        <v>72</v>
      </c>
      <c r="N46">
        <v>2</v>
      </c>
      <c r="O46">
        <v>1200</v>
      </c>
      <c r="P46">
        <v>0.1</v>
      </c>
      <c r="Q46" t="s">
        <v>53</v>
      </c>
      <c r="R46" t="s">
        <v>31</v>
      </c>
      <c r="S46">
        <v>3</v>
      </c>
    </row>
    <row r="47" spans="1:19" x14ac:dyDescent="0.25">
      <c r="A47" t="s">
        <v>242</v>
      </c>
      <c r="B47" s="1">
        <v>46070</v>
      </c>
      <c r="C47" t="s">
        <v>243</v>
      </c>
      <c r="D47" t="s">
        <v>244</v>
      </c>
      <c r="E47" t="s">
        <v>35</v>
      </c>
      <c r="F47">
        <v>38</v>
      </c>
      <c r="G47" t="s">
        <v>36</v>
      </c>
      <c r="H47" t="s">
        <v>24</v>
      </c>
      <c r="I47" t="s">
        <v>37</v>
      </c>
      <c r="J47" t="s">
        <v>38</v>
      </c>
      <c r="K47" t="s">
        <v>116</v>
      </c>
      <c r="L47" t="s">
        <v>117</v>
      </c>
      <c r="M47" t="s">
        <v>52</v>
      </c>
      <c r="N47">
        <v>1</v>
      </c>
      <c r="O47">
        <v>3600</v>
      </c>
      <c r="P47">
        <v>0.05</v>
      </c>
      <c r="Q47" t="s">
        <v>41</v>
      </c>
      <c r="R47" t="s">
        <v>42</v>
      </c>
      <c r="S47">
        <v>4</v>
      </c>
    </row>
    <row r="48" spans="1:19" x14ac:dyDescent="0.25">
      <c r="A48" t="s">
        <v>245</v>
      </c>
      <c r="B48" s="1">
        <v>46071</v>
      </c>
      <c r="C48" t="s">
        <v>246</v>
      </c>
      <c r="D48" t="s">
        <v>247</v>
      </c>
      <c r="E48" t="s">
        <v>22</v>
      </c>
      <c r="F48">
        <v>41</v>
      </c>
      <c r="G48" t="s">
        <v>95</v>
      </c>
      <c r="H48" t="s">
        <v>96</v>
      </c>
      <c r="I48" t="s">
        <v>97</v>
      </c>
      <c r="J48" t="s">
        <v>26</v>
      </c>
      <c r="K48" t="s">
        <v>111</v>
      </c>
      <c r="L48" t="s">
        <v>112</v>
      </c>
      <c r="M48" t="s">
        <v>29</v>
      </c>
      <c r="N48">
        <v>2</v>
      </c>
      <c r="O48">
        <v>1800</v>
      </c>
      <c r="P48">
        <v>0.05</v>
      </c>
      <c r="Q48" t="s">
        <v>30</v>
      </c>
      <c r="R48" t="s">
        <v>54</v>
      </c>
      <c r="S48">
        <v>4</v>
      </c>
    </row>
    <row r="49" spans="1:19" x14ac:dyDescent="0.25">
      <c r="A49" t="s">
        <v>248</v>
      </c>
      <c r="B49" s="1">
        <v>46072</v>
      </c>
      <c r="C49" t="s">
        <v>249</v>
      </c>
      <c r="D49" t="s">
        <v>250</v>
      </c>
      <c r="E49" t="s">
        <v>35</v>
      </c>
      <c r="F49">
        <v>26</v>
      </c>
      <c r="G49" t="s">
        <v>23</v>
      </c>
      <c r="H49" t="s">
        <v>24</v>
      </c>
      <c r="I49" t="s">
        <v>25</v>
      </c>
      <c r="J49" t="s">
        <v>26</v>
      </c>
      <c r="K49" t="s">
        <v>161</v>
      </c>
      <c r="L49" t="s">
        <v>162</v>
      </c>
      <c r="M49" t="s">
        <v>72</v>
      </c>
      <c r="N49">
        <v>2</v>
      </c>
      <c r="O49">
        <v>1500</v>
      </c>
      <c r="P49">
        <v>0.15</v>
      </c>
      <c r="Q49" t="s">
        <v>41</v>
      </c>
      <c r="R49" t="s">
        <v>64</v>
      </c>
      <c r="S49">
        <v>5</v>
      </c>
    </row>
    <row r="50" spans="1:19" x14ac:dyDescent="0.25">
      <c r="A50" t="s">
        <v>251</v>
      </c>
      <c r="B50" s="1">
        <v>46073</v>
      </c>
      <c r="C50" t="s">
        <v>252</v>
      </c>
      <c r="D50" t="s">
        <v>253</v>
      </c>
      <c r="E50" t="s">
        <v>22</v>
      </c>
      <c r="F50">
        <v>34</v>
      </c>
      <c r="G50" t="s">
        <v>150</v>
      </c>
      <c r="H50" t="s">
        <v>151</v>
      </c>
      <c r="I50" t="s">
        <v>152</v>
      </c>
      <c r="J50" t="s">
        <v>49</v>
      </c>
      <c r="K50" t="s">
        <v>70</v>
      </c>
      <c r="L50" t="s">
        <v>71</v>
      </c>
      <c r="M50" t="s">
        <v>72</v>
      </c>
      <c r="N50">
        <v>3</v>
      </c>
      <c r="O50">
        <v>1800</v>
      </c>
      <c r="P50">
        <v>0.1</v>
      </c>
      <c r="Q50" t="s">
        <v>30</v>
      </c>
      <c r="R50" t="s">
        <v>31</v>
      </c>
      <c r="S50">
        <v>4</v>
      </c>
    </row>
    <row r="51" spans="1:19" x14ac:dyDescent="0.25">
      <c r="A51" t="s">
        <v>254</v>
      </c>
      <c r="B51" s="1">
        <v>46074</v>
      </c>
      <c r="C51" t="s">
        <v>255</v>
      </c>
      <c r="D51" t="s">
        <v>256</v>
      </c>
      <c r="E51" t="s">
        <v>35</v>
      </c>
      <c r="F51">
        <v>23</v>
      </c>
      <c r="G51" t="s">
        <v>23</v>
      </c>
      <c r="H51" t="s">
        <v>24</v>
      </c>
      <c r="I51" t="s">
        <v>25</v>
      </c>
      <c r="J51" t="s">
        <v>26</v>
      </c>
      <c r="K51" t="s">
        <v>137</v>
      </c>
      <c r="L51" t="s">
        <v>138</v>
      </c>
      <c r="M51" t="s">
        <v>29</v>
      </c>
      <c r="N51">
        <v>2</v>
      </c>
      <c r="O51">
        <v>900</v>
      </c>
      <c r="P51">
        <v>0.05</v>
      </c>
      <c r="Q51" t="s">
        <v>30</v>
      </c>
      <c r="R51" t="s">
        <v>42</v>
      </c>
      <c r="S51">
        <v>5</v>
      </c>
    </row>
    <row r="52" spans="1:19" x14ac:dyDescent="0.25">
      <c r="A52" t="s">
        <v>180</v>
      </c>
      <c r="B52" s="1">
        <v>46049</v>
      </c>
      <c r="C52" t="s">
        <v>181</v>
      </c>
      <c r="D52" t="s">
        <v>182</v>
      </c>
      <c r="E52" t="s">
        <v>22</v>
      </c>
      <c r="F52">
        <v>28</v>
      </c>
      <c r="G52" t="s">
        <v>46</v>
      </c>
      <c r="H52" t="s">
        <v>47</v>
      </c>
      <c r="I52" t="s">
        <v>48</v>
      </c>
      <c r="J52" t="s">
        <v>49</v>
      </c>
      <c r="K52" t="s">
        <v>77</v>
      </c>
      <c r="L52" t="s">
        <v>78</v>
      </c>
      <c r="M52" t="s">
        <v>29</v>
      </c>
      <c r="N52">
        <v>1</v>
      </c>
      <c r="O52">
        <v>14000</v>
      </c>
      <c r="P52">
        <v>0.15</v>
      </c>
      <c r="Q52" t="s">
        <v>41</v>
      </c>
      <c r="R52" t="s">
        <v>31</v>
      </c>
      <c r="S5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2814-41C8-49BC-BCAB-B0798F3D6550}">
  <dimension ref="A1:Z49"/>
  <sheetViews>
    <sheetView tabSelected="1" topLeftCell="C1" workbookViewId="0">
      <selection activeCell="AA17" sqref="AA17"/>
    </sheetView>
  </sheetViews>
  <sheetFormatPr defaultRowHeight="15" x14ac:dyDescent="0.25"/>
  <cols>
    <col min="1" max="1" width="10.7109375" customWidth="1"/>
    <col min="2" max="2" width="13.140625" customWidth="1"/>
    <col min="3" max="3" width="10.140625" customWidth="1"/>
    <col min="4" max="4" width="17.28515625" customWidth="1"/>
    <col min="5" max="5" width="8.42578125" customWidth="1"/>
    <col min="6" max="6" width="6.7109375" customWidth="1"/>
    <col min="7" max="7" width="15.85546875" customWidth="1"/>
    <col min="8" max="8" width="16" customWidth="1"/>
    <col min="9" max="9" width="8.5703125" customWidth="1"/>
    <col min="10" max="10" width="15.7109375" customWidth="1"/>
    <col min="11" max="11" width="7.7109375" customWidth="1"/>
    <col min="12" max="12" width="17.5703125" customWidth="1"/>
    <col min="13" max="13" width="13.7109375" customWidth="1"/>
    <col min="14" max="14" width="5.42578125" customWidth="1"/>
    <col min="15" max="15" width="10.28515625" customWidth="1"/>
    <col min="16" max="16" width="9.85546875" customWidth="1"/>
    <col min="17" max="17" width="8.140625" customWidth="1"/>
    <col min="18" max="18" width="9.5703125" customWidth="1"/>
    <col min="19" max="19" width="6.28515625" customWidth="1"/>
    <col min="20" max="20" width="9.7109375" customWidth="1"/>
    <col min="21" max="21" width="19.28515625" bestFit="1" customWidth="1"/>
    <col min="22" max="22" width="11" customWidth="1"/>
    <col min="23" max="23" width="9.28515625" bestFit="1" customWidth="1"/>
    <col min="24" max="24" width="5.42578125" customWidth="1"/>
    <col min="25" max="25" width="7.140625" customWidth="1"/>
    <col min="26" max="26" width="9.42578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268</v>
      </c>
      <c r="U1" t="s">
        <v>269</v>
      </c>
      <c r="V1" t="s">
        <v>270</v>
      </c>
      <c r="W1" t="s">
        <v>271</v>
      </c>
      <c r="X1" t="s">
        <v>272</v>
      </c>
      <c r="Y1" t="s">
        <v>273</v>
      </c>
      <c r="Z1" t="s">
        <v>274</v>
      </c>
    </row>
    <row r="2" spans="1:26" x14ac:dyDescent="0.25">
      <c r="A2" t="s">
        <v>19</v>
      </c>
      <c r="B2" s="1">
        <v>46025</v>
      </c>
      <c r="C2" s="2" t="s">
        <v>20</v>
      </c>
      <c r="D2" s="2" t="s">
        <v>21</v>
      </c>
      <c r="E2" s="2" t="s">
        <v>22</v>
      </c>
      <c r="F2">
        <v>24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1</v>
      </c>
      <c r="O2">
        <v>55000</v>
      </c>
      <c r="P2">
        <v>0.05</v>
      </c>
      <c r="Q2" t="s">
        <v>30</v>
      </c>
      <c r="R2" t="s">
        <v>31</v>
      </c>
      <c r="S2">
        <v>4</v>
      </c>
      <c r="T2">
        <f>(Table2[[#This Row],[Quantity]]*Table2[[#This Row],[Unit_Price]])</f>
        <v>55000</v>
      </c>
      <c r="U2">
        <f>(Table2[[#This Row],[Gross_Sales]]*Table2[[#This Row],[Discount]])</f>
        <v>2750</v>
      </c>
      <c r="V2">
        <f>(Table2[[#This Row],[Gross_Sales]]-Table2[[#This Row],[Discount_Amount]])</f>
        <v>52250</v>
      </c>
      <c r="W2" s="3" t="str">
        <f>TEXT(Table2[[#This Row],[Order_Date]],"mmm")</f>
        <v>Jan</v>
      </c>
      <c r="X2" s="3">
        <f>MONTH(Table2[[#This Row],[Order_Date]])</f>
        <v>1</v>
      </c>
      <c r="Y2" s="3">
        <f>YEAR(Table2[[#This Row],[Order_Date]])</f>
        <v>2026</v>
      </c>
      <c r="Z2" s="3" t="str">
        <f>_xlfn.IFS(Table2[[#This Row],[Age]]&lt;=25,"Young",Table2[[#This Row],[Age]]&lt;=50,"Mature",Table2[[#This Row],[Age]]&gt;50,"Senior")</f>
        <v>Young</v>
      </c>
    </row>
    <row r="3" spans="1:26" x14ac:dyDescent="0.25">
      <c r="A3" t="s">
        <v>32</v>
      </c>
      <c r="B3" s="1">
        <v>46025</v>
      </c>
      <c r="C3" s="2" t="s">
        <v>33</v>
      </c>
      <c r="D3" s="2" t="s">
        <v>34</v>
      </c>
      <c r="E3" s="2" t="s">
        <v>35</v>
      </c>
      <c r="F3">
        <v>29</v>
      </c>
      <c r="G3" t="s">
        <v>36</v>
      </c>
      <c r="H3" t="s">
        <v>24</v>
      </c>
      <c r="I3" t="s">
        <v>37</v>
      </c>
      <c r="J3" t="s">
        <v>38</v>
      </c>
      <c r="K3" t="s">
        <v>39</v>
      </c>
      <c r="L3" t="s">
        <v>40</v>
      </c>
      <c r="M3" t="s">
        <v>29</v>
      </c>
      <c r="N3">
        <v>2</v>
      </c>
      <c r="O3">
        <v>2500</v>
      </c>
      <c r="P3">
        <v>0.1</v>
      </c>
      <c r="Q3" t="s">
        <v>41</v>
      </c>
      <c r="R3" t="s">
        <v>42</v>
      </c>
      <c r="S3">
        <v>5</v>
      </c>
      <c r="T3">
        <f>(Table2[[#This Row],[Quantity]]*Table2[[#This Row],[Unit_Price]])</f>
        <v>5000</v>
      </c>
      <c r="U3">
        <f>(Table2[[#This Row],[Gross_Sales]]*Table2[[#This Row],[Discount]])</f>
        <v>500</v>
      </c>
      <c r="V3">
        <f>(Table2[[#This Row],[Gross_Sales]]-Table2[[#This Row],[Discount_Amount]])</f>
        <v>4500</v>
      </c>
      <c r="W3" s="3" t="str">
        <f>TEXT(Table2[[#This Row],[Order_Date]],"mmm")</f>
        <v>Jan</v>
      </c>
      <c r="X3" s="3">
        <f>MONTH(Table2[[#This Row],[Order_Date]])</f>
        <v>1</v>
      </c>
      <c r="Y3" s="3">
        <f>YEAR(Table2[[#This Row],[Order_Date]])</f>
        <v>2026</v>
      </c>
      <c r="Z3" s="3" t="str">
        <f>_xlfn.IFS(Table2[[#This Row],[Age]]&lt;=25,"Young",Table2[[#This Row],[Age]]&lt;=50,"Mature",Table2[[#This Row],[Age]]&gt;50,"Senior")</f>
        <v>Mature</v>
      </c>
    </row>
    <row r="4" spans="1:26" x14ac:dyDescent="0.25">
      <c r="A4" t="s">
        <v>43</v>
      </c>
      <c r="B4" s="1">
        <v>46027</v>
      </c>
      <c r="C4" s="2" t="s">
        <v>44</v>
      </c>
      <c r="D4" s="2" t="s">
        <v>45</v>
      </c>
      <c r="E4" s="2" t="s">
        <v>22</v>
      </c>
      <c r="F4">
        <v>35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>
        <v>1</v>
      </c>
      <c r="O4">
        <v>3200</v>
      </c>
      <c r="P4">
        <v>0.05</v>
      </c>
      <c r="Q4" t="s">
        <v>53</v>
      </c>
      <c r="R4" t="s">
        <v>54</v>
      </c>
      <c r="S4">
        <v>4</v>
      </c>
      <c r="T4">
        <f>(Table2[[#This Row],[Quantity]]*Table2[[#This Row],[Unit_Price]])</f>
        <v>3200</v>
      </c>
      <c r="U4">
        <f>(Table2[[#This Row],[Gross_Sales]]*Table2[[#This Row],[Discount]])</f>
        <v>160</v>
      </c>
      <c r="V4">
        <f>(Table2[[#This Row],[Gross_Sales]]-Table2[[#This Row],[Discount_Amount]])</f>
        <v>3040</v>
      </c>
      <c r="W4" s="3" t="str">
        <f>TEXT(Table2[[#This Row],[Order_Date]],"mmm")</f>
        <v>Jan</v>
      </c>
      <c r="X4" s="3">
        <f>MONTH(Table2[[#This Row],[Order_Date]])</f>
        <v>1</v>
      </c>
      <c r="Y4" s="3">
        <f>YEAR(Table2[[#This Row],[Order_Date]])</f>
        <v>2026</v>
      </c>
      <c r="Z4" s="3" t="str">
        <f>_xlfn.IFS(Table2[[#This Row],[Age]]&lt;=25,"Young",Table2[[#This Row],[Age]]&lt;=50,"Mature",Table2[[#This Row],[Age]]&gt;50,"Senior")</f>
        <v>Mature</v>
      </c>
    </row>
    <row r="5" spans="1:26" x14ac:dyDescent="0.25">
      <c r="A5" t="s">
        <v>55</v>
      </c>
      <c r="B5" s="1">
        <v>46028</v>
      </c>
      <c r="C5" s="2" t="s">
        <v>56</v>
      </c>
      <c r="D5" s="2" t="s">
        <v>57</v>
      </c>
      <c r="E5" s="2" t="s">
        <v>35</v>
      </c>
      <c r="F5">
        <v>27</v>
      </c>
      <c r="G5" t="s">
        <v>58</v>
      </c>
      <c r="H5" t="s">
        <v>59</v>
      </c>
      <c r="I5" t="s">
        <v>60</v>
      </c>
      <c r="J5" t="s">
        <v>26</v>
      </c>
      <c r="K5" t="s">
        <v>61</v>
      </c>
      <c r="L5" t="s">
        <v>62</v>
      </c>
      <c r="M5" t="s">
        <v>63</v>
      </c>
      <c r="N5">
        <v>1</v>
      </c>
      <c r="O5">
        <v>8500</v>
      </c>
      <c r="P5">
        <v>0</v>
      </c>
      <c r="Q5" t="s">
        <v>30</v>
      </c>
      <c r="R5" t="s">
        <v>64</v>
      </c>
      <c r="S5">
        <v>3</v>
      </c>
      <c r="T5">
        <f>(Table2[[#This Row],[Quantity]]*Table2[[#This Row],[Unit_Price]])</f>
        <v>8500</v>
      </c>
      <c r="U5">
        <f>(Table2[[#This Row],[Gross_Sales]]*Table2[[#This Row],[Discount]])</f>
        <v>0</v>
      </c>
      <c r="V5">
        <f>(Table2[[#This Row],[Gross_Sales]]-Table2[[#This Row],[Discount_Amount]])</f>
        <v>8500</v>
      </c>
      <c r="W5" s="3" t="str">
        <f>TEXT(Table2[[#This Row],[Order_Date]],"mmm")</f>
        <v>Jan</v>
      </c>
      <c r="X5" s="3">
        <f>MONTH(Table2[[#This Row],[Order_Date]])</f>
        <v>1</v>
      </c>
      <c r="Y5" s="3">
        <f>YEAR(Table2[[#This Row],[Order_Date]])</f>
        <v>2026</v>
      </c>
      <c r="Z5" s="3" t="str">
        <f>_xlfn.IFS(Table2[[#This Row],[Age]]&lt;=25,"Young",Table2[[#This Row],[Age]]&lt;=50,"Mature",Table2[[#This Row],[Age]]&gt;50,"Senior")</f>
        <v>Mature</v>
      </c>
    </row>
    <row r="6" spans="1:26" x14ac:dyDescent="0.25">
      <c r="A6" t="s">
        <v>65</v>
      </c>
      <c r="B6" s="1">
        <v>46029</v>
      </c>
      <c r="C6" s="2" t="s">
        <v>66</v>
      </c>
      <c r="D6" s="2" t="s">
        <v>67</v>
      </c>
      <c r="E6" s="2" t="s">
        <v>22</v>
      </c>
      <c r="F6">
        <v>41</v>
      </c>
      <c r="G6" t="s">
        <v>68</v>
      </c>
      <c r="H6" t="s">
        <v>68</v>
      </c>
      <c r="I6" t="s">
        <v>69</v>
      </c>
      <c r="J6" t="s">
        <v>38</v>
      </c>
      <c r="K6" t="s">
        <v>70</v>
      </c>
      <c r="L6" t="s">
        <v>71</v>
      </c>
      <c r="M6" t="s">
        <v>72</v>
      </c>
      <c r="N6">
        <v>3</v>
      </c>
      <c r="O6">
        <v>1800</v>
      </c>
      <c r="P6">
        <v>0.15</v>
      </c>
      <c r="Q6" t="s">
        <v>41</v>
      </c>
      <c r="R6" t="s">
        <v>31</v>
      </c>
      <c r="S6">
        <v>4</v>
      </c>
      <c r="T6">
        <f>(Table2[[#This Row],[Quantity]]*Table2[[#This Row],[Unit_Price]])</f>
        <v>5400</v>
      </c>
      <c r="U6">
        <f>(Table2[[#This Row],[Gross_Sales]]*Table2[[#This Row],[Discount]])</f>
        <v>810</v>
      </c>
      <c r="V6">
        <f>(Table2[[#This Row],[Gross_Sales]]-Table2[[#This Row],[Discount_Amount]])</f>
        <v>4590</v>
      </c>
      <c r="W6" s="3" t="str">
        <f>TEXT(Table2[[#This Row],[Order_Date]],"mmm")</f>
        <v>Jan</v>
      </c>
      <c r="X6" s="3">
        <f>MONTH(Table2[[#This Row],[Order_Date]])</f>
        <v>1</v>
      </c>
      <c r="Y6" s="3">
        <f>YEAR(Table2[[#This Row],[Order_Date]])</f>
        <v>2026</v>
      </c>
      <c r="Z6" s="3" t="str">
        <f>_xlfn.IFS(Table2[[#This Row],[Age]]&lt;=25,"Young",Table2[[#This Row],[Age]]&lt;=50,"Mature",Table2[[#This Row],[Age]]&gt;50,"Senior")</f>
        <v>Mature</v>
      </c>
    </row>
    <row r="7" spans="1:26" x14ac:dyDescent="0.25">
      <c r="A7" t="s">
        <v>73</v>
      </c>
      <c r="B7" s="1">
        <v>46030</v>
      </c>
      <c r="C7" s="2" t="s">
        <v>74</v>
      </c>
      <c r="D7" s="2" t="s">
        <v>75</v>
      </c>
      <c r="E7" s="2" t="s">
        <v>35</v>
      </c>
      <c r="F7">
        <v>22</v>
      </c>
      <c r="G7" t="s">
        <v>23</v>
      </c>
      <c r="H7" t="s">
        <v>24</v>
      </c>
      <c r="I7" t="s">
        <v>25</v>
      </c>
      <c r="J7" t="s">
        <v>26</v>
      </c>
      <c r="K7" t="s">
        <v>77</v>
      </c>
      <c r="L7" t="s">
        <v>78</v>
      </c>
      <c r="M7" t="s">
        <v>29</v>
      </c>
      <c r="N7">
        <v>1</v>
      </c>
      <c r="O7">
        <v>14000</v>
      </c>
      <c r="P7">
        <v>0.1</v>
      </c>
      <c r="Q7" t="s">
        <v>30</v>
      </c>
      <c r="R7" t="s">
        <v>42</v>
      </c>
      <c r="S7">
        <v>5</v>
      </c>
      <c r="T7">
        <f>(Table2[[#This Row],[Quantity]]*Table2[[#This Row],[Unit_Price]])</f>
        <v>14000</v>
      </c>
      <c r="U7">
        <f>(Table2[[#This Row],[Gross_Sales]]*Table2[[#This Row],[Discount]])</f>
        <v>1400</v>
      </c>
      <c r="V7">
        <f>(Table2[[#This Row],[Gross_Sales]]-Table2[[#This Row],[Discount_Amount]])</f>
        <v>12600</v>
      </c>
      <c r="W7" s="3" t="str">
        <f>TEXT(Table2[[#This Row],[Order_Date]],"mmm")</f>
        <v>Jan</v>
      </c>
      <c r="X7" s="3">
        <f>MONTH(Table2[[#This Row],[Order_Date]])</f>
        <v>1</v>
      </c>
      <c r="Y7" s="3">
        <f>YEAR(Table2[[#This Row],[Order_Date]])</f>
        <v>2026</v>
      </c>
      <c r="Z7" s="3" t="str">
        <f>_xlfn.IFS(Table2[[#This Row],[Age]]&lt;=25,"Young",Table2[[#This Row],[Age]]&lt;=50,"Mature",Table2[[#This Row],[Age]]&gt;50,"Senior")</f>
        <v>Young</v>
      </c>
    </row>
    <row r="8" spans="1:26" x14ac:dyDescent="0.25">
      <c r="A8" t="s">
        <v>84</v>
      </c>
      <c r="B8" s="1">
        <v>46032</v>
      </c>
      <c r="C8" s="2" t="s">
        <v>85</v>
      </c>
      <c r="D8" s="2" t="s">
        <v>86</v>
      </c>
      <c r="E8" s="2" t="s">
        <v>35</v>
      </c>
      <c r="F8">
        <v>38</v>
      </c>
      <c r="G8" t="s">
        <v>87</v>
      </c>
      <c r="H8" t="s">
        <v>88</v>
      </c>
      <c r="I8" t="s">
        <v>89</v>
      </c>
      <c r="J8" t="s">
        <v>49</v>
      </c>
      <c r="K8" t="s">
        <v>90</v>
      </c>
      <c r="L8" t="s">
        <v>91</v>
      </c>
      <c r="M8" t="s">
        <v>63</v>
      </c>
      <c r="N8">
        <v>1</v>
      </c>
      <c r="O8">
        <v>7500</v>
      </c>
      <c r="P8">
        <v>0.1</v>
      </c>
      <c r="Q8" t="s">
        <v>30</v>
      </c>
      <c r="R8" t="s">
        <v>64</v>
      </c>
      <c r="S8">
        <v>5</v>
      </c>
      <c r="T8">
        <f>(Table2[[#This Row],[Quantity]]*Table2[[#This Row],[Unit_Price]])</f>
        <v>7500</v>
      </c>
      <c r="U8">
        <f>(Table2[[#This Row],[Gross_Sales]]*Table2[[#This Row],[Discount]])</f>
        <v>750</v>
      </c>
      <c r="V8">
        <f>(Table2[[#This Row],[Gross_Sales]]-Table2[[#This Row],[Discount_Amount]])</f>
        <v>6750</v>
      </c>
      <c r="W8" s="3" t="str">
        <f>TEXT(Table2[[#This Row],[Order_Date]],"mmm")</f>
        <v>Jan</v>
      </c>
      <c r="X8" s="3">
        <f>MONTH(Table2[[#This Row],[Order_Date]])</f>
        <v>1</v>
      </c>
      <c r="Y8" s="3">
        <f>YEAR(Table2[[#This Row],[Order_Date]])</f>
        <v>2026</v>
      </c>
      <c r="Z8" s="3" t="str">
        <f>_xlfn.IFS(Table2[[#This Row],[Age]]&lt;=25,"Young",Table2[[#This Row],[Age]]&lt;=50,"Mature",Table2[[#This Row],[Age]]&gt;50,"Senior")</f>
        <v>Mature</v>
      </c>
    </row>
    <row r="9" spans="1:26" x14ac:dyDescent="0.25">
      <c r="A9" t="s">
        <v>92</v>
      </c>
      <c r="B9" s="1">
        <v>46033</v>
      </c>
      <c r="C9" s="2" t="s">
        <v>93</v>
      </c>
      <c r="D9" s="2" t="s">
        <v>94</v>
      </c>
      <c r="E9" s="2" t="s">
        <v>22</v>
      </c>
      <c r="F9">
        <v>26</v>
      </c>
      <c r="G9" t="s">
        <v>95</v>
      </c>
      <c r="H9" t="s">
        <v>96</v>
      </c>
      <c r="I9" t="s">
        <v>97</v>
      </c>
      <c r="J9" t="s">
        <v>26</v>
      </c>
      <c r="K9" t="s">
        <v>98</v>
      </c>
      <c r="L9" t="s">
        <v>99</v>
      </c>
      <c r="M9" t="s">
        <v>29</v>
      </c>
      <c r="N9">
        <v>2</v>
      </c>
      <c r="O9">
        <v>4500</v>
      </c>
      <c r="P9">
        <v>0.2</v>
      </c>
      <c r="Q9" t="s">
        <v>41</v>
      </c>
      <c r="R9" t="s">
        <v>31</v>
      </c>
      <c r="S9">
        <v>3</v>
      </c>
      <c r="T9">
        <f>(Table2[[#This Row],[Quantity]]*Table2[[#This Row],[Unit_Price]])</f>
        <v>9000</v>
      </c>
      <c r="U9">
        <f>(Table2[[#This Row],[Gross_Sales]]*Table2[[#This Row],[Discount]])</f>
        <v>1800</v>
      </c>
      <c r="V9">
        <f>(Table2[[#This Row],[Gross_Sales]]-Table2[[#This Row],[Discount_Amount]])</f>
        <v>7200</v>
      </c>
      <c r="W9" s="3" t="str">
        <f>TEXT(Table2[[#This Row],[Order_Date]],"mmm")</f>
        <v>Jan</v>
      </c>
      <c r="X9" s="3">
        <f>MONTH(Table2[[#This Row],[Order_Date]])</f>
        <v>1</v>
      </c>
      <c r="Y9" s="3">
        <f>YEAR(Table2[[#This Row],[Order_Date]])</f>
        <v>2026</v>
      </c>
      <c r="Z9" s="3" t="str">
        <f>_xlfn.IFS(Table2[[#This Row],[Age]]&lt;=25,"Young",Table2[[#This Row],[Age]]&lt;=50,"Mature",Table2[[#This Row],[Age]]&gt;50,"Senior")</f>
        <v>Mature</v>
      </c>
    </row>
    <row r="10" spans="1:26" x14ac:dyDescent="0.25">
      <c r="A10" t="s">
        <v>100</v>
      </c>
      <c r="B10" s="1">
        <v>46034</v>
      </c>
      <c r="C10" s="2" t="s">
        <v>101</v>
      </c>
      <c r="D10" s="2" t="s">
        <v>102</v>
      </c>
      <c r="E10" s="2" t="s">
        <v>35</v>
      </c>
      <c r="F10">
        <v>33</v>
      </c>
      <c r="G10" t="s">
        <v>103</v>
      </c>
      <c r="H10" t="s">
        <v>104</v>
      </c>
      <c r="I10" t="s">
        <v>105</v>
      </c>
      <c r="J10" t="s">
        <v>38</v>
      </c>
      <c r="K10" t="s">
        <v>106</v>
      </c>
      <c r="L10" t="s">
        <v>107</v>
      </c>
      <c r="M10" t="s">
        <v>72</v>
      </c>
      <c r="N10">
        <v>2</v>
      </c>
      <c r="O10">
        <v>1200</v>
      </c>
      <c r="P10">
        <v>0.05</v>
      </c>
      <c r="Q10" t="s">
        <v>53</v>
      </c>
      <c r="R10" t="s">
        <v>42</v>
      </c>
      <c r="S10">
        <v>4</v>
      </c>
      <c r="T10">
        <f>(Table2[[#This Row],[Quantity]]*Table2[[#This Row],[Unit_Price]])</f>
        <v>2400</v>
      </c>
      <c r="U10">
        <f>(Table2[[#This Row],[Gross_Sales]]*Table2[[#This Row],[Discount]])</f>
        <v>120</v>
      </c>
      <c r="V10">
        <f>(Table2[[#This Row],[Gross_Sales]]-Table2[[#This Row],[Discount_Amount]])</f>
        <v>2280</v>
      </c>
      <c r="W10" s="3" t="str">
        <f>TEXT(Table2[[#This Row],[Order_Date]],"mmm")</f>
        <v>Jan</v>
      </c>
      <c r="X10" s="3">
        <f>MONTH(Table2[[#This Row],[Order_Date]])</f>
        <v>1</v>
      </c>
      <c r="Y10" s="3">
        <f>YEAR(Table2[[#This Row],[Order_Date]])</f>
        <v>2026</v>
      </c>
      <c r="Z10" s="3" t="str">
        <f>_xlfn.IFS(Table2[[#This Row],[Age]]&lt;=25,"Young",Table2[[#This Row],[Age]]&lt;=50,"Mature",Table2[[#This Row],[Age]]&gt;50,"Senior")</f>
        <v>Mature</v>
      </c>
    </row>
    <row r="11" spans="1:26" x14ac:dyDescent="0.25">
      <c r="A11" t="s">
        <v>108</v>
      </c>
      <c r="B11" s="1">
        <v>46035</v>
      </c>
      <c r="C11" s="2" t="s">
        <v>109</v>
      </c>
      <c r="D11" s="2" t="s">
        <v>110</v>
      </c>
      <c r="E11" s="2" t="s">
        <v>22</v>
      </c>
      <c r="F11">
        <v>45</v>
      </c>
      <c r="G11" t="s">
        <v>68</v>
      </c>
      <c r="H11" t="s">
        <v>68</v>
      </c>
      <c r="I11" t="s">
        <v>69</v>
      </c>
      <c r="J11" t="s">
        <v>38</v>
      </c>
      <c r="K11" t="s">
        <v>111</v>
      </c>
      <c r="L11" t="s">
        <v>112</v>
      </c>
      <c r="M11" t="s">
        <v>29</v>
      </c>
      <c r="N11">
        <v>2</v>
      </c>
      <c r="O11">
        <v>1800</v>
      </c>
      <c r="P11">
        <v>0.1</v>
      </c>
      <c r="Q11" t="s">
        <v>30</v>
      </c>
      <c r="R11" t="s">
        <v>54</v>
      </c>
      <c r="S11">
        <v>4</v>
      </c>
      <c r="T11">
        <f>(Table2[[#This Row],[Quantity]]*Table2[[#This Row],[Unit_Price]])</f>
        <v>3600</v>
      </c>
      <c r="U11">
        <f>(Table2[[#This Row],[Gross_Sales]]*Table2[[#This Row],[Discount]])</f>
        <v>360</v>
      </c>
      <c r="V11">
        <f>(Table2[[#This Row],[Gross_Sales]]-Table2[[#This Row],[Discount_Amount]])</f>
        <v>3240</v>
      </c>
      <c r="W11" s="3" t="str">
        <f>TEXT(Table2[[#This Row],[Order_Date]],"mmm")</f>
        <v>Jan</v>
      </c>
      <c r="X11" s="3">
        <f>MONTH(Table2[[#This Row],[Order_Date]])</f>
        <v>1</v>
      </c>
      <c r="Y11" s="3">
        <f>YEAR(Table2[[#This Row],[Order_Date]])</f>
        <v>2026</v>
      </c>
      <c r="Z11" s="3" t="str">
        <f>_xlfn.IFS(Table2[[#This Row],[Age]]&lt;=25,"Young",Table2[[#This Row],[Age]]&lt;=50,"Mature",Table2[[#This Row],[Age]]&gt;50,"Senior")</f>
        <v>Mature</v>
      </c>
    </row>
    <row r="12" spans="1:26" x14ac:dyDescent="0.25">
      <c r="A12" t="s">
        <v>113</v>
      </c>
      <c r="B12" s="1">
        <v>46036</v>
      </c>
      <c r="C12" s="2" t="s">
        <v>114</v>
      </c>
      <c r="D12" s="2" t="s">
        <v>264</v>
      </c>
      <c r="E12" s="2" t="s">
        <v>35</v>
      </c>
      <c r="F12">
        <v>25</v>
      </c>
      <c r="G12" t="s">
        <v>23</v>
      </c>
      <c r="H12" t="s">
        <v>24</v>
      </c>
      <c r="I12" t="s">
        <v>25</v>
      </c>
      <c r="J12" t="s">
        <v>26</v>
      </c>
      <c r="K12" t="s">
        <v>116</v>
      </c>
      <c r="L12" t="s">
        <v>117</v>
      </c>
      <c r="M12" t="s">
        <v>52</v>
      </c>
      <c r="N12">
        <v>1</v>
      </c>
      <c r="O12">
        <v>3600</v>
      </c>
      <c r="P12">
        <v>0.05</v>
      </c>
      <c r="Q12" t="s">
        <v>41</v>
      </c>
      <c r="R12" t="s">
        <v>64</v>
      </c>
      <c r="S12">
        <v>5</v>
      </c>
      <c r="T12">
        <f>(Table2[[#This Row],[Quantity]]*Table2[[#This Row],[Unit_Price]])</f>
        <v>3600</v>
      </c>
      <c r="U12">
        <f>(Table2[[#This Row],[Gross_Sales]]*Table2[[#This Row],[Discount]])</f>
        <v>180</v>
      </c>
      <c r="V12">
        <f>(Table2[[#This Row],[Gross_Sales]]-Table2[[#This Row],[Discount_Amount]])</f>
        <v>3420</v>
      </c>
      <c r="W12" s="3" t="str">
        <f>TEXT(Table2[[#This Row],[Order_Date]],"mmm")</f>
        <v>Jan</v>
      </c>
      <c r="X12" s="3">
        <f>MONTH(Table2[[#This Row],[Order_Date]])</f>
        <v>1</v>
      </c>
      <c r="Y12" s="3">
        <f>YEAR(Table2[[#This Row],[Order_Date]])</f>
        <v>2026</v>
      </c>
      <c r="Z12" s="3" t="str">
        <f>_xlfn.IFS(Table2[[#This Row],[Age]]&lt;=25,"Young",Table2[[#This Row],[Age]]&lt;=50,"Mature",Table2[[#This Row],[Age]]&gt;50,"Senior")</f>
        <v>Young</v>
      </c>
    </row>
    <row r="13" spans="1:26" x14ac:dyDescent="0.25">
      <c r="A13" t="s">
        <v>118</v>
      </c>
      <c r="B13" s="1">
        <v>46037</v>
      </c>
      <c r="C13" s="2" t="s">
        <v>119</v>
      </c>
      <c r="D13" s="2" t="s">
        <v>120</v>
      </c>
      <c r="E13" s="2" t="s">
        <v>22</v>
      </c>
      <c r="F13">
        <v>30</v>
      </c>
      <c r="G13" t="s">
        <v>121</v>
      </c>
      <c r="H13" t="s">
        <v>122</v>
      </c>
      <c r="I13" t="s">
        <v>123</v>
      </c>
      <c r="J13" t="s">
        <v>49</v>
      </c>
      <c r="K13" t="s">
        <v>124</v>
      </c>
      <c r="L13" t="s">
        <v>125</v>
      </c>
      <c r="M13" t="s">
        <v>63</v>
      </c>
      <c r="N13">
        <v>1</v>
      </c>
      <c r="O13">
        <v>6200</v>
      </c>
      <c r="P13">
        <v>0</v>
      </c>
      <c r="Q13" t="s">
        <v>53</v>
      </c>
      <c r="R13" t="s">
        <v>31</v>
      </c>
      <c r="S13">
        <v>3</v>
      </c>
      <c r="T13">
        <f>(Table2[[#This Row],[Quantity]]*Table2[[#This Row],[Unit_Price]])</f>
        <v>6200</v>
      </c>
      <c r="U13">
        <f>(Table2[[#This Row],[Gross_Sales]]*Table2[[#This Row],[Discount]])</f>
        <v>0</v>
      </c>
      <c r="V13">
        <f>(Table2[[#This Row],[Gross_Sales]]-Table2[[#This Row],[Discount_Amount]])</f>
        <v>6200</v>
      </c>
      <c r="W13" s="3" t="str">
        <f>TEXT(Table2[[#This Row],[Order_Date]],"mmm")</f>
        <v>Jan</v>
      </c>
      <c r="X13" s="3">
        <f>MONTH(Table2[[#This Row],[Order_Date]])</f>
        <v>1</v>
      </c>
      <c r="Y13" s="3">
        <f>YEAR(Table2[[#This Row],[Order_Date]])</f>
        <v>2026</v>
      </c>
      <c r="Z13" s="3" t="str">
        <f>_xlfn.IFS(Table2[[#This Row],[Age]]&lt;=25,"Young",Table2[[#This Row],[Age]]&lt;=50,"Mature",Table2[[#This Row],[Age]]&gt;50,"Senior")</f>
        <v>Mature</v>
      </c>
    </row>
    <row r="14" spans="1:26" x14ac:dyDescent="0.25">
      <c r="A14" t="s">
        <v>126</v>
      </c>
      <c r="B14" s="1">
        <v>46038</v>
      </c>
      <c r="C14" s="2" t="s">
        <v>127</v>
      </c>
      <c r="D14" s="2" t="s">
        <v>128</v>
      </c>
      <c r="E14" s="2" t="s">
        <v>35</v>
      </c>
      <c r="F14">
        <v>28</v>
      </c>
      <c r="G14" t="s">
        <v>129</v>
      </c>
      <c r="H14" t="s">
        <v>130</v>
      </c>
      <c r="I14" t="s">
        <v>131</v>
      </c>
      <c r="J14" t="s">
        <v>26</v>
      </c>
      <c r="K14" t="s">
        <v>132</v>
      </c>
      <c r="L14" t="s">
        <v>133</v>
      </c>
      <c r="M14" t="s">
        <v>72</v>
      </c>
      <c r="N14">
        <v>3</v>
      </c>
      <c r="O14">
        <v>900</v>
      </c>
      <c r="P14">
        <v>0.1</v>
      </c>
      <c r="Q14" t="s">
        <v>30</v>
      </c>
      <c r="R14" t="s">
        <v>42</v>
      </c>
      <c r="S14">
        <v>5</v>
      </c>
      <c r="T14">
        <f>(Table2[[#This Row],[Quantity]]*Table2[[#This Row],[Unit_Price]])</f>
        <v>2700</v>
      </c>
      <c r="U14">
        <f>(Table2[[#This Row],[Gross_Sales]]*Table2[[#This Row],[Discount]])</f>
        <v>270</v>
      </c>
      <c r="V14">
        <f>(Table2[[#This Row],[Gross_Sales]]-Table2[[#This Row],[Discount_Amount]])</f>
        <v>2430</v>
      </c>
      <c r="W14" s="3" t="str">
        <f>TEXT(Table2[[#This Row],[Order_Date]],"mmm")</f>
        <v>Jan</v>
      </c>
      <c r="X14" s="3">
        <f>MONTH(Table2[[#This Row],[Order_Date]])</f>
        <v>1</v>
      </c>
      <c r="Y14" s="3">
        <f>YEAR(Table2[[#This Row],[Order_Date]])</f>
        <v>2026</v>
      </c>
      <c r="Z14" s="3" t="str">
        <f>_xlfn.IFS(Table2[[#This Row],[Age]]&lt;=25,"Young",Table2[[#This Row],[Age]]&lt;=50,"Mature",Table2[[#This Row],[Age]]&gt;50,"Senior")</f>
        <v>Mature</v>
      </c>
    </row>
    <row r="15" spans="1:26" x14ac:dyDescent="0.25">
      <c r="A15" t="s">
        <v>134</v>
      </c>
      <c r="B15" s="1">
        <v>46039</v>
      </c>
      <c r="C15" s="2" t="s">
        <v>135</v>
      </c>
      <c r="D15" s="2" t="s">
        <v>136</v>
      </c>
      <c r="E15" s="2" t="s">
        <v>22</v>
      </c>
      <c r="F15">
        <v>39</v>
      </c>
      <c r="G15" t="s">
        <v>95</v>
      </c>
      <c r="H15" t="s">
        <v>96</v>
      </c>
      <c r="I15" t="s">
        <v>97</v>
      </c>
      <c r="J15" t="s">
        <v>26</v>
      </c>
      <c r="K15" t="s">
        <v>137</v>
      </c>
      <c r="L15" t="s">
        <v>138</v>
      </c>
      <c r="M15" t="s">
        <v>29</v>
      </c>
      <c r="N15">
        <v>4</v>
      </c>
      <c r="O15">
        <v>900</v>
      </c>
      <c r="P15">
        <v>0.05</v>
      </c>
      <c r="Q15" t="s">
        <v>41</v>
      </c>
      <c r="R15" t="s">
        <v>54</v>
      </c>
      <c r="S15">
        <v>4</v>
      </c>
      <c r="T15">
        <f>(Table2[[#This Row],[Quantity]]*Table2[[#This Row],[Unit_Price]])</f>
        <v>3600</v>
      </c>
      <c r="U15">
        <f>(Table2[[#This Row],[Gross_Sales]]*Table2[[#This Row],[Discount]])</f>
        <v>180</v>
      </c>
      <c r="V15">
        <f>(Table2[[#This Row],[Gross_Sales]]-Table2[[#This Row],[Discount_Amount]])</f>
        <v>3420</v>
      </c>
      <c r="W15" s="3" t="str">
        <f>TEXT(Table2[[#This Row],[Order_Date]],"mmm")</f>
        <v>Jan</v>
      </c>
      <c r="X15" s="3">
        <f>MONTH(Table2[[#This Row],[Order_Date]])</f>
        <v>1</v>
      </c>
      <c r="Y15" s="3">
        <f>YEAR(Table2[[#This Row],[Order_Date]])</f>
        <v>2026</v>
      </c>
      <c r="Z15" s="3" t="str">
        <f>_xlfn.IFS(Table2[[#This Row],[Age]]&lt;=25,"Young",Table2[[#This Row],[Age]]&lt;=50,"Mature",Table2[[#This Row],[Age]]&gt;50,"Senior")</f>
        <v>Mature</v>
      </c>
    </row>
    <row r="16" spans="1:26" x14ac:dyDescent="0.25">
      <c r="A16" t="s">
        <v>139</v>
      </c>
      <c r="B16" s="1">
        <v>46040</v>
      </c>
      <c r="C16" s="2" t="s">
        <v>140</v>
      </c>
      <c r="D16" s="2" t="s">
        <v>141</v>
      </c>
      <c r="E16" s="2" t="s">
        <v>35</v>
      </c>
      <c r="F16">
        <v>24</v>
      </c>
      <c r="G16" t="s">
        <v>23</v>
      </c>
      <c r="H16" t="s">
        <v>24</v>
      </c>
      <c r="I16" t="s">
        <v>25</v>
      </c>
      <c r="J16" t="s">
        <v>26</v>
      </c>
      <c r="K16" t="s">
        <v>50</v>
      </c>
      <c r="L16" t="s">
        <v>51</v>
      </c>
      <c r="M16" t="s">
        <v>52</v>
      </c>
      <c r="N16">
        <v>1</v>
      </c>
      <c r="O16">
        <v>3200</v>
      </c>
      <c r="P16">
        <v>0.05</v>
      </c>
      <c r="Q16" t="s">
        <v>30</v>
      </c>
      <c r="R16" t="s">
        <v>64</v>
      </c>
      <c r="S16">
        <v>5</v>
      </c>
      <c r="T16">
        <f>(Table2[[#This Row],[Quantity]]*Table2[[#This Row],[Unit_Price]])</f>
        <v>3200</v>
      </c>
      <c r="U16">
        <f>(Table2[[#This Row],[Gross_Sales]]*Table2[[#This Row],[Discount]])</f>
        <v>160</v>
      </c>
      <c r="V16">
        <f>(Table2[[#This Row],[Gross_Sales]]-Table2[[#This Row],[Discount_Amount]])</f>
        <v>3040</v>
      </c>
      <c r="W16" s="3" t="str">
        <f>TEXT(Table2[[#This Row],[Order_Date]],"mmm")</f>
        <v>Jan</v>
      </c>
      <c r="X16" s="3">
        <f>MONTH(Table2[[#This Row],[Order_Date]])</f>
        <v>1</v>
      </c>
      <c r="Y16" s="3">
        <f>YEAR(Table2[[#This Row],[Order_Date]])</f>
        <v>2026</v>
      </c>
      <c r="Z16" s="3" t="str">
        <f>_xlfn.IFS(Table2[[#This Row],[Age]]&lt;=25,"Young",Table2[[#This Row],[Age]]&lt;=50,"Mature",Table2[[#This Row],[Age]]&gt;50,"Senior")</f>
        <v>Young</v>
      </c>
    </row>
    <row r="17" spans="1:26" x14ac:dyDescent="0.25">
      <c r="A17" t="s">
        <v>142</v>
      </c>
      <c r="B17" s="1">
        <v>46041</v>
      </c>
      <c r="C17" s="2" t="s">
        <v>143</v>
      </c>
      <c r="D17" s="2" t="s">
        <v>144</v>
      </c>
      <c r="E17" s="2" t="s">
        <v>22</v>
      </c>
      <c r="F17">
        <v>36</v>
      </c>
      <c r="G17" t="s">
        <v>68</v>
      </c>
      <c r="H17" t="s">
        <v>68</v>
      </c>
      <c r="I17" t="s">
        <v>69</v>
      </c>
      <c r="J17" t="s">
        <v>38</v>
      </c>
      <c r="K17" t="s">
        <v>145</v>
      </c>
      <c r="L17" t="s">
        <v>146</v>
      </c>
      <c r="M17" t="s">
        <v>63</v>
      </c>
      <c r="N17">
        <v>1</v>
      </c>
      <c r="O17">
        <v>9500</v>
      </c>
      <c r="P17">
        <v>0.15</v>
      </c>
      <c r="Q17" t="s">
        <v>41</v>
      </c>
      <c r="R17" t="s">
        <v>31</v>
      </c>
      <c r="S17">
        <v>3</v>
      </c>
      <c r="T17">
        <f>(Table2[[#This Row],[Quantity]]*Table2[[#This Row],[Unit_Price]])</f>
        <v>9500</v>
      </c>
      <c r="U17">
        <f>(Table2[[#This Row],[Gross_Sales]]*Table2[[#This Row],[Discount]])</f>
        <v>1425</v>
      </c>
      <c r="V17">
        <f>(Table2[[#This Row],[Gross_Sales]]-Table2[[#This Row],[Discount_Amount]])</f>
        <v>8075</v>
      </c>
      <c r="W17" s="3" t="str">
        <f>TEXT(Table2[[#This Row],[Order_Date]],"mmm")</f>
        <v>Jan</v>
      </c>
      <c r="X17" s="3">
        <f>MONTH(Table2[[#This Row],[Order_Date]])</f>
        <v>1</v>
      </c>
      <c r="Y17" s="3">
        <f>YEAR(Table2[[#This Row],[Order_Date]])</f>
        <v>2026</v>
      </c>
      <c r="Z17" s="3" t="str">
        <f>_xlfn.IFS(Table2[[#This Row],[Age]]&lt;=25,"Young",Table2[[#This Row],[Age]]&lt;=50,"Mature",Table2[[#This Row],[Age]]&gt;50,"Senior")</f>
        <v>Mature</v>
      </c>
    </row>
    <row r="18" spans="1:26" x14ac:dyDescent="0.25">
      <c r="A18" t="s">
        <v>147</v>
      </c>
      <c r="B18" s="1">
        <v>46042</v>
      </c>
      <c r="C18" s="2" t="s">
        <v>148</v>
      </c>
      <c r="D18" s="2" t="s">
        <v>149</v>
      </c>
      <c r="E18" s="2" t="s">
        <v>35</v>
      </c>
      <c r="F18">
        <v>31</v>
      </c>
      <c r="G18" t="s">
        <v>150</v>
      </c>
      <c r="H18" t="s">
        <v>151</v>
      </c>
      <c r="I18" t="s">
        <v>152</v>
      </c>
      <c r="J18" t="s">
        <v>49</v>
      </c>
      <c r="K18" t="s">
        <v>153</v>
      </c>
      <c r="L18" t="s">
        <v>154</v>
      </c>
      <c r="M18" t="s">
        <v>72</v>
      </c>
      <c r="N18">
        <v>2</v>
      </c>
      <c r="O18">
        <v>2400</v>
      </c>
      <c r="P18">
        <v>0.1</v>
      </c>
      <c r="Q18" t="s">
        <v>30</v>
      </c>
      <c r="R18" t="s">
        <v>42</v>
      </c>
      <c r="S18">
        <v>4</v>
      </c>
      <c r="T18">
        <f>(Table2[[#This Row],[Quantity]]*Table2[[#This Row],[Unit_Price]])</f>
        <v>4800</v>
      </c>
      <c r="U18">
        <f>(Table2[[#This Row],[Gross_Sales]]*Table2[[#This Row],[Discount]])</f>
        <v>480</v>
      </c>
      <c r="V18">
        <f>(Table2[[#This Row],[Gross_Sales]]-Table2[[#This Row],[Discount_Amount]])</f>
        <v>4320</v>
      </c>
      <c r="W18" s="3" t="str">
        <f>TEXT(Table2[[#This Row],[Order_Date]],"mmm")</f>
        <v>Jan</v>
      </c>
      <c r="X18" s="3">
        <f>MONTH(Table2[[#This Row],[Order_Date]])</f>
        <v>1</v>
      </c>
      <c r="Y18" s="3">
        <f>YEAR(Table2[[#This Row],[Order_Date]])</f>
        <v>2026</v>
      </c>
      <c r="Z18" s="3" t="str">
        <f>_xlfn.IFS(Table2[[#This Row],[Age]]&lt;=25,"Young",Table2[[#This Row],[Age]]&lt;=50,"Mature",Table2[[#This Row],[Age]]&gt;50,"Senior")</f>
        <v>Mature</v>
      </c>
    </row>
    <row r="19" spans="1:26" x14ac:dyDescent="0.25">
      <c r="A19" t="s">
        <v>155</v>
      </c>
      <c r="B19" s="1">
        <v>46043</v>
      </c>
      <c r="C19" s="2" t="s">
        <v>156</v>
      </c>
      <c r="D19" s="2" t="s">
        <v>157</v>
      </c>
      <c r="E19" s="2" t="s">
        <v>22</v>
      </c>
      <c r="F19">
        <v>29</v>
      </c>
      <c r="G19" t="s">
        <v>36</v>
      </c>
      <c r="H19" t="s">
        <v>24</v>
      </c>
      <c r="I19" t="s">
        <v>37</v>
      </c>
      <c r="J19" t="s">
        <v>38</v>
      </c>
      <c r="K19" t="s">
        <v>39</v>
      </c>
      <c r="L19" t="s">
        <v>40</v>
      </c>
      <c r="M19" t="s">
        <v>29</v>
      </c>
      <c r="N19">
        <v>1</v>
      </c>
      <c r="O19">
        <v>2500</v>
      </c>
      <c r="P19">
        <v>0.05</v>
      </c>
      <c r="Q19" t="s">
        <v>41</v>
      </c>
      <c r="R19" t="s">
        <v>54</v>
      </c>
      <c r="S19">
        <v>5</v>
      </c>
      <c r="T19">
        <f>(Table2[[#This Row],[Quantity]]*Table2[[#This Row],[Unit_Price]])</f>
        <v>2500</v>
      </c>
      <c r="U19">
        <f>(Table2[[#This Row],[Gross_Sales]]*Table2[[#This Row],[Discount]])</f>
        <v>125</v>
      </c>
      <c r="V19">
        <f>(Table2[[#This Row],[Gross_Sales]]-Table2[[#This Row],[Discount_Amount]])</f>
        <v>2375</v>
      </c>
      <c r="W19" s="3" t="str">
        <f>TEXT(Table2[[#This Row],[Order_Date]],"mmm")</f>
        <v>Jan</v>
      </c>
      <c r="X19" s="3">
        <f>MONTH(Table2[[#This Row],[Order_Date]])</f>
        <v>1</v>
      </c>
      <c r="Y19" s="3">
        <f>YEAR(Table2[[#This Row],[Order_Date]])</f>
        <v>2026</v>
      </c>
      <c r="Z19" s="3" t="str">
        <f>_xlfn.IFS(Table2[[#This Row],[Age]]&lt;=25,"Young",Table2[[#This Row],[Age]]&lt;=50,"Mature",Table2[[#This Row],[Age]]&gt;50,"Senior")</f>
        <v>Mature</v>
      </c>
    </row>
    <row r="20" spans="1:26" x14ac:dyDescent="0.25">
      <c r="A20" t="s">
        <v>158</v>
      </c>
      <c r="B20" s="1">
        <v>46044</v>
      </c>
      <c r="C20" s="2" t="s">
        <v>159</v>
      </c>
      <c r="D20" s="2" t="s">
        <v>160</v>
      </c>
      <c r="E20" s="2" t="s">
        <v>35</v>
      </c>
      <c r="F20">
        <v>26</v>
      </c>
      <c r="G20" t="s">
        <v>150</v>
      </c>
      <c r="H20" t="s">
        <v>151</v>
      </c>
      <c r="I20" t="s">
        <v>152</v>
      </c>
      <c r="J20" t="s">
        <v>49</v>
      </c>
      <c r="K20" t="s">
        <v>161</v>
      </c>
      <c r="L20" t="s">
        <v>162</v>
      </c>
      <c r="M20" t="s">
        <v>72</v>
      </c>
      <c r="N20">
        <v>2</v>
      </c>
      <c r="O20">
        <v>1500</v>
      </c>
      <c r="P20">
        <v>0.2</v>
      </c>
      <c r="Q20" t="s">
        <v>53</v>
      </c>
      <c r="R20" t="s">
        <v>64</v>
      </c>
      <c r="S20">
        <v>3</v>
      </c>
      <c r="T20">
        <f>(Table2[[#This Row],[Quantity]]*Table2[[#This Row],[Unit_Price]])</f>
        <v>3000</v>
      </c>
      <c r="U20">
        <f>(Table2[[#This Row],[Gross_Sales]]*Table2[[#This Row],[Discount]])</f>
        <v>600</v>
      </c>
      <c r="V20">
        <f>(Table2[[#This Row],[Gross_Sales]]-Table2[[#This Row],[Discount_Amount]])</f>
        <v>2400</v>
      </c>
      <c r="W20" s="3" t="str">
        <f>TEXT(Table2[[#This Row],[Order_Date]],"mmm")</f>
        <v>Jan</v>
      </c>
      <c r="X20" s="3">
        <f>MONTH(Table2[[#This Row],[Order_Date]])</f>
        <v>1</v>
      </c>
      <c r="Y20" s="3">
        <f>YEAR(Table2[[#This Row],[Order_Date]])</f>
        <v>2026</v>
      </c>
      <c r="Z20" s="3" t="str">
        <f>_xlfn.IFS(Table2[[#This Row],[Age]]&lt;=25,"Young",Table2[[#This Row],[Age]]&lt;=50,"Mature",Table2[[#This Row],[Age]]&gt;50,"Senior")</f>
        <v>Mature</v>
      </c>
    </row>
    <row r="21" spans="1:26" x14ac:dyDescent="0.25">
      <c r="A21" t="s">
        <v>163</v>
      </c>
      <c r="B21" s="1">
        <v>46045</v>
      </c>
      <c r="C21" s="2" t="s">
        <v>164</v>
      </c>
      <c r="D21" s="2" t="s">
        <v>165</v>
      </c>
      <c r="E21" s="2" t="s">
        <v>22</v>
      </c>
      <c r="F21">
        <v>42</v>
      </c>
      <c r="G21" t="s">
        <v>166</v>
      </c>
      <c r="H21" t="s">
        <v>122</v>
      </c>
      <c r="I21" t="s">
        <v>167</v>
      </c>
      <c r="J21" t="s">
        <v>26</v>
      </c>
      <c r="K21" t="s">
        <v>27</v>
      </c>
      <c r="L21" t="s">
        <v>28</v>
      </c>
      <c r="M21" t="s">
        <v>29</v>
      </c>
      <c r="N21">
        <v>1</v>
      </c>
      <c r="O21">
        <v>55000</v>
      </c>
      <c r="P21">
        <v>0.1</v>
      </c>
      <c r="Q21" t="s">
        <v>30</v>
      </c>
      <c r="R21" t="s">
        <v>31</v>
      </c>
      <c r="S21">
        <v>5</v>
      </c>
      <c r="T21">
        <f>(Table2[[#This Row],[Quantity]]*Table2[[#This Row],[Unit_Price]])</f>
        <v>55000</v>
      </c>
      <c r="U21">
        <f>(Table2[[#This Row],[Gross_Sales]]*Table2[[#This Row],[Discount]])</f>
        <v>5500</v>
      </c>
      <c r="V21">
        <f>(Table2[[#This Row],[Gross_Sales]]-Table2[[#This Row],[Discount_Amount]])</f>
        <v>49500</v>
      </c>
      <c r="W21" s="3" t="str">
        <f>TEXT(Table2[[#This Row],[Order_Date]],"mmm")</f>
        <v>Jan</v>
      </c>
      <c r="X21" s="3">
        <f>MONTH(Table2[[#This Row],[Order_Date]])</f>
        <v>1</v>
      </c>
      <c r="Y21" s="3">
        <f>YEAR(Table2[[#This Row],[Order_Date]])</f>
        <v>2026</v>
      </c>
      <c r="Z21" s="3" t="str">
        <f>_xlfn.IFS(Table2[[#This Row],[Age]]&lt;=25,"Young",Table2[[#This Row],[Age]]&lt;=50,"Mature",Table2[[#This Row],[Age]]&gt;50,"Senior")</f>
        <v>Mature</v>
      </c>
    </row>
    <row r="22" spans="1:26" x14ac:dyDescent="0.25">
      <c r="A22" t="s">
        <v>168</v>
      </c>
      <c r="B22" s="1">
        <v>46046</v>
      </c>
      <c r="C22" s="2" t="s">
        <v>169</v>
      </c>
      <c r="D22" s="2" t="s">
        <v>170</v>
      </c>
      <c r="E22" s="2" t="s">
        <v>35</v>
      </c>
      <c r="F22">
        <v>31</v>
      </c>
      <c r="G22" t="s">
        <v>171</v>
      </c>
      <c r="H22" t="s">
        <v>172</v>
      </c>
      <c r="I22" t="s">
        <v>173</v>
      </c>
      <c r="J22" t="s">
        <v>38</v>
      </c>
      <c r="K22" t="s">
        <v>82</v>
      </c>
      <c r="L22" t="s">
        <v>83</v>
      </c>
      <c r="M22" t="s">
        <v>52</v>
      </c>
      <c r="N22">
        <v>1</v>
      </c>
      <c r="O22">
        <v>2800</v>
      </c>
      <c r="P22">
        <v>0.05</v>
      </c>
      <c r="Q22" t="s">
        <v>41</v>
      </c>
      <c r="R22" t="s">
        <v>42</v>
      </c>
      <c r="S22">
        <v>4</v>
      </c>
      <c r="T22">
        <f>(Table2[[#This Row],[Quantity]]*Table2[[#This Row],[Unit_Price]])</f>
        <v>2800</v>
      </c>
      <c r="U22">
        <f>(Table2[[#This Row],[Gross_Sales]]*Table2[[#This Row],[Discount]])</f>
        <v>140</v>
      </c>
      <c r="V22">
        <f>(Table2[[#This Row],[Gross_Sales]]-Table2[[#This Row],[Discount_Amount]])</f>
        <v>2660</v>
      </c>
      <c r="W22" s="3" t="str">
        <f>TEXT(Table2[[#This Row],[Order_Date]],"mmm")</f>
        <v>Jan</v>
      </c>
      <c r="X22" s="3">
        <f>MONTH(Table2[[#This Row],[Order_Date]])</f>
        <v>1</v>
      </c>
      <c r="Y22" s="3">
        <f>YEAR(Table2[[#This Row],[Order_Date]])</f>
        <v>2026</v>
      </c>
      <c r="Z22" s="3" t="str">
        <f>_xlfn.IFS(Table2[[#This Row],[Age]]&lt;=25,"Young",Table2[[#This Row],[Age]]&lt;=50,"Mature",Table2[[#This Row],[Age]]&gt;50,"Senior")</f>
        <v>Mature</v>
      </c>
    </row>
    <row r="23" spans="1:26" x14ac:dyDescent="0.25">
      <c r="A23" t="s">
        <v>174</v>
      </c>
      <c r="B23" s="1">
        <v>46047</v>
      </c>
      <c r="C23" s="2" t="s">
        <v>175</v>
      </c>
      <c r="D23" s="2" t="s">
        <v>176</v>
      </c>
      <c r="E23" s="2" t="s">
        <v>22</v>
      </c>
      <c r="F23">
        <v>37</v>
      </c>
      <c r="G23" t="s">
        <v>68</v>
      </c>
      <c r="H23" t="s">
        <v>68</v>
      </c>
      <c r="I23" t="s">
        <v>69</v>
      </c>
      <c r="J23" t="s">
        <v>38</v>
      </c>
      <c r="K23" t="s">
        <v>90</v>
      </c>
      <c r="L23" t="s">
        <v>91</v>
      </c>
      <c r="M23" t="s">
        <v>63</v>
      </c>
      <c r="N23">
        <v>1</v>
      </c>
      <c r="O23">
        <v>7500</v>
      </c>
      <c r="P23">
        <v>0.1</v>
      </c>
      <c r="Q23" t="s">
        <v>30</v>
      </c>
      <c r="R23" t="s">
        <v>54</v>
      </c>
      <c r="S23">
        <v>4</v>
      </c>
      <c r="T23">
        <f>(Table2[[#This Row],[Quantity]]*Table2[[#This Row],[Unit_Price]])</f>
        <v>7500</v>
      </c>
      <c r="U23">
        <f>(Table2[[#This Row],[Gross_Sales]]*Table2[[#This Row],[Discount]])</f>
        <v>750</v>
      </c>
      <c r="V23">
        <f>(Table2[[#This Row],[Gross_Sales]]-Table2[[#This Row],[Discount_Amount]])</f>
        <v>6750</v>
      </c>
      <c r="W23" s="3" t="str">
        <f>TEXT(Table2[[#This Row],[Order_Date]],"mmm")</f>
        <v>Jan</v>
      </c>
      <c r="X23" s="3">
        <f>MONTH(Table2[[#This Row],[Order_Date]])</f>
        <v>1</v>
      </c>
      <c r="Y23" s="3">
        <f>YEAR(Table2[[#This Row],[Order_Date]])</f>
        <v>2026</v>
      </c>
      <c r="Z23" s="3" t="str">
        <f>_xlfn.IFS(Table2[[#This Row],[Age]]&lt;=25,"Young",Table2[[#This Row],[Age]]&lt;=50,"Mature",Table2[[#This Row],[Age]]&gt;50,"Senior")</f>
        <v>Mature</v>
      </c>
    </row>
    <row r="24" spans="1:26" x14ac:dyDescent="0.25">
      <c r="A24" t="s">
        <v>177</v>
      </c>
      <c r="B24" s="1">
        <v>46048</v>
      </c>
      <c r="C24" s="2" t="s">
        <v>178</v>
      </c>
      <c r="D24" s="2" t="s">
        <v>179</v>
      </c>
      <c r="E24" s="2" t="s">
        <v>35</v>
      </c>
      <c r="F24">
        <v>34</v>
      </c>
      <c r="G24" t="s">
        <v>150</v>
      </c>
      <c r="H24" t="s">
        <v>151</v>
      </c>
      <c r="I24" t="s">
        <v>152</v>
      </c>
      <c r="J24" t="s">
        <v>49</v>
      </c>
      <c r="K24" t="s">
        <v>106</v>
      </c>
      <c r="L24" t="s">
        <v>107</v>
      </c>
      <c r="M24" t="s">
        <v>72</v>
      </c>
      <c r="N24">
        <v>4</v>
      </c>
      <c r="O24">
        <v>1200</v>
      </c>
      <c r="P24">
        <v>0.05</v>
      </c>
      <c r="Q24" t="s">
        <v>53</v>
      </c>
      <c r="R24" t="s">
        <v>64</v>
      </c>
      <c r="S24">
        <v>5</v>
      </c>
      <c r="T24">
        <f>(Table2[[#This Row],[Quantity]]*Table2[[#This Row],[Unit_Price]])</f>
        <v>4800</v>
      </c>
      <c r="U24">
        <f>(Table2[[#This Row],[Gross_Sales]]*Table2[[#This Row],[Discount]])</f>
        <v>240</v>
      </c>
      <c r="V24">
        <f>(Table2[[#This Row],[Gross_Sales]]-Table2[[#This Row],[Discount_Amount]])</f>
        <v>4560</v>
      </c>
      <c r="W24" s="3" t="str">
        <f>TEXT(Table2[[#This Row],[Order_Date]],"mmm")</f>
        <v>Jan</v>
      </c>
      <c r="X24" s="3">
        <f>MONTH(Table2[[#This Row],[Order_Date]])</f>
        <v>1</v>
      </c>
      <c r="Y24" s="3">
        <f>YEAR(Table2[[#This Row],[Order_Date]])</f>
        <v>2026</v>
      </c>
      <c r="Z24" s="3" t="str">
        <f>_xlfn.IFS(Table2[[#This Row],[Age]]&lt;=25,"Young",Table2[[#This Row],[Age]]&lt;=50,"Mature",Table2[[#This Row],[Age]]&gt;50,"Senior")</f>
        <v>Mature</v>
      </c>
    </row>
    <row r="25" spans="1:26" x14ac:dyDescent="0.25">
      <c r="A25" t="s">
        <v>180</v>
      </c>
      <c r="B25" s="1">
        <v>46049</v>
      </c>
      <c r="C25" s="2" t="s">
        <v>181</v>
      </c>
      <c r="D25" s="2" t="s">
        <v>182</v>
      </c>
      <c r="E25" s="2" t="s">
        <v>22</v>
      </c>
      <c r="F25">
        <v>28</v>
      </c>
      <c r="G25" t="s">
        <v>46</v>
      </c>
      <c r="H25" t="s">
        <v>47</v>
      </c>
      <c r="I25" t="s">
        <v>48</v>
      </c>
      <c r="J25" t="s">
        <v>49</v>
      </c>
      <c r="K25" t="s">
        <v>77</v>
      </c>
      <c r="L25" t="s">
        <v>78</v>
      </c>
      <c r="M25" t="s">
        <v>29</v>
      </c>
      <c r="N25">
        <v>1</v>
      </c>
      <c r="O25">
        <v>14000</v>
      </c>
      <c r="P25">
        <v>0.15</v>
      </c>
      <c r="Q25" t="s">
        <v>41</v>
      </c>
      <c r="R25" t="s">
        <v>31</v>
      </c>
      <c r="S25">
        <v>3</v>
      </c>
      <c r="T25">
        <f>(Table2[[#This Row],[Quantity]]*Table2[[#This Row],[Unit_Price]])</f>
        <v>14000</v>
      </c>
      <c r="U25">
        <f>(Table2[[#This Row],[Gross_Sales]]*Table2[[#This Row],[Discount]])</f>
        <v>2100</v>
      </c>
      <c r="V25">
        <f>(Table2[[#This Row],[Gross_Sales]]-Table2[[#This Row],[Discount_Amount]])</f>
        <v>11900</v>
      </c>
      <c r="W25" s="3" t="str">
        <f>TEXT(Table2[[#This Row],[Order_Date]],"mmm")</f>
        <v>Jan</v>
      </c>
      <c r="X25" s="3">
        <f>MONTH(Table2[[#This Row],[Order_Date]])</f>
        <v>1</v>
      </c>
      <c r="Y25" s="3">
        <f>YEAR(Table2[[#This Row],[Order_Date]])</f>
        <v>2026</v>
      </c>
      <c r="Z25" s="3" t="str">
        <f>_xlfn.IFS(Table2[[#This Row],[Age]]&lt;=25,"Young",Table2[[#This Row],[Age]]&lt;=50,"Mature",Table2[[#This Row],[Age]]&gt;50,"Senior")</f>
        <v>Mature</v>
      </c>
    </row>
    <row r="26" spans="1:26" x14ac:dyDescent="0.25">
      <c r="A26" t="s">
        <v>183</v>
      </c>
      <c r="B26" s="1">
        <v>46050</v>
      </c>
      <c r="C26" s="2" t="s">
        <v>184</v>
      </c>
      <c r="D26" s="2" t="s">
        <v>185</v>
      </c>
      <c r="E26" s="2" t="s">
        <v>35</v>
      </c>
      <c r="F26">
        <v>23</v>
      </c>
      <c r="G26" t="s">
        <v>36</v>
      </c>
      <c r="H26" t="s">
        <v>24</v>
      </c>
      <c r="I26" t="s">
        <v>37</v>
      </c>
      <c r="J26" t="s">
        <v>38</v>
      </c>
      <c r="K26" t="s">
        <v>98</v>
      </c>
      <c r="L26" t="s">
        <v>99</v>
      </c>
      <c r="M26" t="s">
        <v>29</v>
      </c>
      <c r="N26">
        <v>1</v>
      </c>
      <c r="O26">
        <v>4500</v>
      </c>
      <c r="P26">
        <v>0.2</v>
      </c>
      <c r="Q26" t="s">
        <v>30</v>
      </c>
      <c r="R26" t="s">
        <v>42</v>
      </c>
      <c r="S26">
        <v>4</v>
      </c>
      <c r="T26">
        <f>(Table2[[#This Row],[Quantity]]*Table2[[#This Row],[Unit_Price]])</f>
        <v>4500</v>
      </c>
      <c r="U26">
        <f>(Table2[[#This Row],[Gross_Sales]]*Table2[[#This Row],[Discount]])</f>
        <v>900</v>
      </c>
      <c r="V26">
        <f>(Table2[[#This Row],[Gross_Sales]]-Table2[[#This Row],[Discount_Amount]])</f>
        <v>3600</v>
      </c>
      <c r="W26" s="3" t="str">
        <f>TEXT(Table2[[#This Row],[Order_Date]],"mmm")</f>
        <v>Jan</v>
      </c>
      <c r="X26" s="3">
        <f>MONTH(Table2[[#This Row],[Order_Date]])</f>
        <v>1</v>
      </c>
      <c r="Y26" s="3">
        <f>YEAR(Table2[[#This Row],[Order_Date]])</f>
        <v>2026</v>
      </c>
      <c r="Z26" s="3" t="str">
        <f>_xlfn.IFS(Table2[[#This Row],[Age]]&lt;=25,"Young",Table2[[#This Row],[Age]]&lt;=50,"Mature",Table2[[#This Row],[Age]]&gt;50,"Senior")</f>
        <v>Young</v>
      </c>
    </row>
    <row r="27" spans="1:26" x14ac:dyDescent="0.25">
      <c r="A27" t="s">
        <v>186</v>
      </c>
      <c r="B27" s="1">
        <v>46051</v>
      </c>
      <c r="C27" s="2" t="s">
        <v>187</v>
      </c>
      <c r="D27" s="2" t="s">
        <v>188</v>
      </c>
      <c r="E27" s="2" t="s">
        <v>22</v>
      </c>
      <c r="F27">
        <v>40</v>
      </c>
      <c r="G27" t="s">
        <v>58</v>
      </c>
      <c r="H27" t="s">
        <v>59</v>
      </c>
      <c r="I27" t="s">
        <v>60</v>
      </c>
      <c r="J27" t="s">
        <v>26</v>
      </c>
      <c r="K27" t="s">
        <v>61</v>
      </c>
      <c r="L27" t="s">
        <v>62</v>
      </c>
      <c r="M27" t="s">
        <v>63</v>
      </c>
      <c r="N27">
        <v>2</v>
      </c>
      <c r="O27">
        <v>8500</v>
      </c>
      <c r="P27">
        <v>0.1</v>
      </c>
      <c r="Q27" t="s">
        <v>41</v>
      </c>
      <c r="R27" t="s">
        <v>54</v>
      </c>
      <c r="S27">
        <v>5</v>
      </c>
      <c r="T27">
        <f>(Table2[[#This Row],[Quantity]]*Table2[[#This Row],[Unit_Price]])</f>
        <v>17000</v>
      </c>
      <c r="U27">
        <f>(Table2[[#This Row],[Gross_Sales]]*Table2[[#This Row],[Discount]])</f>
        <v>1700</v>
      </c>
      <c r="V27">
        <f>(Table2[[#This Row],[Gross_Sales]]-Table2[[#This Row],[Discount_Amount]])</f>
        <v>15300</v>
      </c>
      <c r="W27" s="3" t="str">
        <f>TEXT(Table2[[#This Row],[Order_Date]],"mmm")</f>
        <v>Jan</v>
      </c>
      <c r="X27" s="3">
        <f>MONTH(Table2[[#This Row],[Order_Date]])</f>
        <v>1</v>
      </c>
      <c r="Y27" s="3">
        <f>YEAR(Table2[[#This Row],[Order_Date]])</f>
        <v>2026</v>
      </c>
      <c r="Z27" s="3" t="str">
        <f>_xlfn.IFS(Table2[[#This Row],[Age]]&lt;=25,"Young",Table2[[#This Row],[Age]]&lt;=50,"Mature",Table2[[#This Row],[Age]]&gt;50,"Senior")</f>
        <v>Mature</v>
      </c>
    </row>
    <row r="28" spans="1:26" x14ac:dyDescent="0.25">
      <c r="A28" t="s">
        <v>189</v>
      </c>
      <c r="B28" s="1">
        <v>46052</v>
      </c>
      <c r="C28" s="2" t="s">
        <v>190</v>
      </c>
      <c r="D28" s="2" t="s">
        <v>191</v>
      </c>
      <c r="E28" s="2" t="s">
        <v>35</v>
      </c>
      <c r="F28">
        <v>27</v>
      </c>
      <c r="G28" t="s">
        <v>87</v>
      </c>
      <c r="H28" t="s">
        <v>88</v>
      </c>
      <c r="I28" t="s">
        <v>89</v>
      </c>
      <c r="J28" t="s">
        <v>49</v>
      </c>
      <c r="K28" t="s">
        <v>70</v>
      </c>
      <c r="L28" t="s">
        <v>71</v>
      </c>
      <c r="M28" t="s">
        <v>72</v>
      </c>
      <c r="N28">
        <v>2</v>
      </c>
      <c r="O28">
        <v>1800</v>
      </c>
      <c r="P28">
        <v>0.05</v>
      </c>
      <c r="Q28" t="s">
        <v>30</v>
      </c>
      <c r="R28" t="s">
        <v>64</v>
      </c>
      <c r="S28">
        <v>4</v>
      </c>
      <c r="T28">
        <f>(Table2[[#This Row],[Quantity]]*Table2[[#This Row],[Unit_Price]])</f>
        <v>3600</v>
      </c>
      <c r="U28">
        <f>(Table2[[#This Row],[Gross_Sales]]*Table2[[#This Row],[Discount]])</f>
        <v>180</v>
      </c>
      <c r="V28">
        <f>(Table2[[#This Row],[Gross_Sales]]-Table2[[#This Row],[Discount_Amount]])</f>
        <v>3420</v>
      </c>
      <c r="W28" s="3" t="str">
        <f>TEXT(Table2[[#This Row],[Order_Date]],"mmm")</f>
        <v>Jan</v>
      </c>
      <c r="X28" s="3">
        <f>MONTH(Table2[[#This Row],[Order_Date]])</f>
        <v>1</v>
      </c>
      <c r="Y28" s="3">
        <f>YEAR(Table2[[#This Row],[Order_Date]])</f>
        <v>2026</v>
      </c>
      <c r="Z28" s="3" t="str">
        <f>_xlfn.IFS(Table2[[#This Row],[Age]]&lt;=25,"Young",Table2[[#This Row],[Age]]&lt;=50,"Mature",Table2[[#This Row],[Age]]&gt;50,"Senior")</f>
        <v>Mature</v>
      </c>
    </row>
    <row r="29" spans="1:26" x14ac:dyDescent="0.25">
      <c r="A29" t="s">
        <v>192</v>
      </c>
      <c r="B29" s="1">
        <v>46053</v>
      </c>
      <c r="C29" s="2" t="s">
        <v>193</v>
      </c>
      <c r="D29" s="2" t="s">
        <v>194</v>
      </c>
      <c r="E29" s="2" t="s">
        <v>22</v>
      </c>
      <c r="F29">
        <v>33</v>
      </c>
      <c r="G29" t="s">
        <v>121</v>
      </c>
      <c r="H29" t="s">
        <v>122</v>
      </c>
      <c r="I29" t="s">
        <v>123</v>
      </c>
      <c r="J29" t="s">
        <v>49</v>
      </c>
      <c r="K29" t="s">
        <v>116</v>
      </c>
      <c r="L29" t="s">
        <v>117</v>
      </c>
      <c r="M29" t="s">
        <v>52</v>
      </c>
      <c r="N29">
        <v>1</v>
      </c>
      <c r="O29">
        <v>3600</v>
      </c>
      <c r="P29">
        <v>0.1</v>
      </c>
      <c r="Q29" t="s">
        <v>41</v>
      </c>
      <c r="R29" t="s">
        <v>31</v>
      </c>
      <c r="S29">
        <v>3</v>
      </c>
      <c r="T29">
        <f>(Table2[[#This Row],[Quantity]]*Table2[[#This Row],[Unit_Price]])</f>
        <v>3600</v>
      </c>
      <c r="U29">
        <f>(Table2[[#This Row],[Gross_Sales]]*Table2[[#This Row],[Discount]])</f>
        <v>360</v>
      </c>
      <c r="V29">
        <f>(Table2[[#This Row],[Gross_Sales]]-Table2[[#This Row],[Discount_Amount]])</f>
        <v>3240</v>
      </c>
      <c r="W29" s="3" t="str">
        <f>TEXT(Table2[[#This Row],[Order_Date]],"mmm")</f>
        <v>Jan</v>
      </c>
      <c r="X29" s="3">
        <f>MONTH(Table2[[#This Row],[Order_Date]])</f>
        <v>1</v>
      </c>
      <c r="Y29" s="3">
        <f>YEAR(Table2[[#This Row],[Order_Date]])</f>
        <v>2026</v>
      </c>
      <c r="Z29" s="3" t="str">
        <f>_xlfn.IFS(Table2[[#This Row],[Age]]&lt;=25,"Young",Table2[[#This Row],[Age]]&lt;=50,"Mature",Table2[[#This Row],[Age]]&gt;50,"Senior")</f>
        <v>Mature</v>
      </c>
    </row>
    <row r="30" spans="1:26" x14ac:dyDescent="0.25">
      <c r="A30" t="s">
        <v>195</v>
      </c>
      <c r="B30" s="1">
        <v>46054</v>
      </c>
      <c r="C30" s="2" t="s">
        <v>196</v>
      </c>
      <c r="D30" s="2" t="s">
        <v>197</v>
      </c>
      <c r="E30" s="2" t="s">
        <v>35</v>
      </c>
      <c r="F30">
        <v>29</v>
      </c>
      <c r="G30" t="s">
        <v>129</v>
      </c>
      <c r="H30" t="s">
        <v>130</v>
      </c>
      <c r="I30" t="s">
        <v>131</v>
      </c>
      <c r="J30" t="s">
        <v>26</v>
      </c>
      <c r="K30" t="s">
        <v>132</v>
      </c>
      <c r="L30" t="s">
        <v>133</v>
      </c>
      <c r="M30" t="s">
        <v>72</v>
      </c>
      <c r="N30">
        <v>2</v>
      </c>
      <c r="O30">
        <v>900</v>
      </c>
      <c r="P30">
        <v>0.05</v>
      </c>
      <c r="Q30" t="s">
        <v>53</v>
      </c>
      <c r="R30" t="s">
        <v>42</v>
      </c>
      <c r="S30">
        <v>4</v>
      </c>
      <c r="T30">
        <f>(Table2[[#This Row],[Quantity]]*Table2[[#This Row],[Unit_Price]])</f>
        <v>1800</v>
      </c>
      <c r="U30">
        <f>(Table2[[#This Row],[Gross_Sales]]*Table2[[#This Row],[Discount]])</f>
        <v>90</v>
      </c>
      <c r="V30">
        <f>(Table2[[#This Row],[Gross_Sales]]-Table2[[#This Row],[Discount_Amount]])</f>
        <v>1710</v>
      </c>
      <c r="W30" s="3" t="str">
        <f>TEXT(Table2[[#This Row],[Order_Date]],"mmm")</f>
        <v>Feb</v>
      </c>
      <c r="X30" s="3">
        <f>MONTH(Table2[[#This Row],[Order_Date]])</f>
        <v>2</v>
      </c>
      <c r="Y30" s="3">
        <f>YEAR(Table2[[#This Row],[Order_Date]])</f>
        <v>2026</v>
      </c>
      <c r="Z30" s="3" t="str">
        <f>_xlfn.IFS(Table2[[#This Row],[Age]]&lt;=25,"Young",Table2[[#This Row],[Age]]&lt;=50,"Mature",Table2[[#This Row],[Age]]&gt;50,"Senior")</f>
        <v>Mature</v>
      </c>
    </row>
    <row r="31" spans="1:26" x14ac:dyDescent="0.25">
      <c r="A31" t="s">
        <v>198</v>
      </c>
      <c r="B31" s="1">
        <v>46055</v>
      </c>
      <c r="C31" s="2" t="s">
        <v>199</v>
      </c>
      <c r="D31" s="2" t="s">
        <v>200</v>
      </c>
      <c r="E31" s="2" t="s">
        <v>22</v>
      </c>
      <c r="F31">
        <v>44</v>
      </c>
      <c r="G31" t="s">
        <v>68</v>
      </c>
      <c r="H31" t="s">
        <v>68</v>
      </c>
      <c r="I31" t="s">
        <v>69</v>
      </c>
      <c r="J31" t="s">
        <v>38</v>
      </c>
      <c r="K31" t="s">
        <v>111</v>
      </c>
      <c r="L31" t="s">
        <v>112</v>
      </c>
      <c r="M31" t="s">
        <v>29</v>
      </c>
      <c r="N31">
        <v>3</v>
      </c>
      <c r="O31">
        <v>1800</v>
      </c>
      <c r="P31">
        <v>0.05</v>
      </c>
      <c r="Q31" t="s">
        <v>30</v>
      </c>
      <c r="R31" t="s">
        <v>54</v>
      </c>
      <c r="S31">
        <v>5</v>
      </c>
      <c r="T31">
        <f>(Table2[[#This Row],[Quantity]]*Table2[[#This Row],[Unit_Price]])</f>
        <v>5400</v>
      </c>
      <c r="U31">
        <f>(Table2[[#This Row],[Gross_Sales]]*Table2[[#This Row],[Discount]])</f>
        <v>270</v>
      </c>
      <c r="V31">
        <f>(Table2[[#This Row],[Gross_Sales]]-Table2[[#This Row],[Discount_Amount]])</f>
        <v>5130</v>
      </c>
      <c r="W31" s="3" t="str">
        <f>TEXT(Table2[[#This Row],[Order_Date]],"mmm")</f>
        <v>Feb</v>
      </c>
      <c r="X31" s="3">
        <f>MONTH(Table2[[#This Row],[Order_Date]])</f>
        <v>2</v>
      </c>
      <c r="Y31" s="3">
        <f>YEAR(Table2[[#This Row],[Order_Date]])</f>
        <v>2026</v>
      </c>
      <c r="Z31" s="3" t="str">
        <f>_xlfn.IFS(Table2[[#This Row],[Age]]&lt;=25,"Young",Table2[[#This Row],[Age]]&lt;=50,"Mature",Table2[[#This Row],[Age]]&gt;50,"Senior")</f>
        <v>Mature</v>
      </c>
    </row>
    <row r="32" spans="1:26" x14ac:dyDescent="0.25">
      <c r="A32" t="s">
        <v>201</v>
      </c>
      <c r="B32" s="1">
        <v>46056</v>
      </c>
      <c r="C32" s="2" t="s">
        <v>202</v>
      </c>
      <c r="D32" s="2" t="s">
        <v>203</v>
      </c>
      <c r="E32" s="2" t="s">
        <v>35</v>
      </c>
      <c r="F32">
        <v>26</v>
      </c>
      <c r="G32" t="s">
        <v>267</v>
      </c>
      <c r="H32" t="s">
        <v>24</v>
      </c>
      <c r="I32" t="s">
        <v>25</v>
      </c>
      <c r="J32" t="s">
        <v>26</v>
      </c>
      <c r="K32" t="s">
        <v>137</v>
      </c>
      <c r="L32" t="s">
        <v>138</v>
      </c>
      <c r="M32" t="s">
        <v>29</v>
      </c>
      <c r="N32">
        <v>2</v>
      </c>
      <c r="O32">
        <v>900</v>
      </c>
      <c r="P32">
        <v>0.1</v>
      </c>
      <c r="Q32" t="s">
        <v>41</v>
      </c>
      <c r="R32" t="s">
        <v>64</v>
      </c>
      <c r="S32">
        <v>4</v>
      </c>
      <c r="T32">
        <f>(Table2[[#This Row],[Quantity]]*Table2[[#This Row],[Unit_Price]])</f>
        <v>1800</v>
      </c>
      <c r="U32">
        <f>(Table2[[#This Row],[Gross_Sales]]*Table2[[#This Row],[Discount]])</f>
        <v>180</v>
      </c>
      <c r="V32">
        <f>(Table2[[#This Row],[Gross_Sales]]-Table2[[#This Row],[Discount_Amount]])</f>
        <v>1620</v>
      </c>
      <c r="W32" s="3" t="str">
        <f>TEXT(Table2[[#This Row],[Order_Date]],"mmm")</f>
        <v>Feb</v>
      </c>
      <c r="X32" s="3">
        <f>MONTH(Table2[[#This Row],[Order_Date]])</f>
        <v>2</v>
      </c>
      <c r="Y32" s="3">
        <f>YEAR(Table2[[#This Row],[Order_Date]])</f>
        <v>2026</v>
      </c>
      <c r="Z32" s="3" t="str">
        <f>_xlfn.IFS(Table2[[#This Row],[Age]]&lt;=25,"Young",Table2[[#This Row],[Age]]&lt;=50,"Mature",Table2[[#This Row],[Age]]&gt;50,"Senior")</f>
        <v>Mature</v>
      </c>
    </row>
    <row r="33" spans="1:26" x14ac:dyDescent="0.25">
      <c r="A33" t="s">
        <v>204</v>
      </c>
      <c r="B33" s="1">
        <v>46057</v>
      </c>
      <c r="C33" s="2" t="s">
        <v>205</v>
      </c>
      <c r="D33" s="2" t="s">
        <v>206</v>
      </c>
      <c r="E33" s="2" t="s">
        <v>22</v>
      </c>
      <c r="F33">
        <v>52</v>
      </c>
      <c r="G33" t="s">
        <v>36</v>
      </c>
      <c r="H33" t="s">
        <v>24</v>
      </c>
      <c r="I33" t="s">
        <v>37</v>
      </c>
      <c r="J33" t="s">
        <v>38</v>
      </c>
      <c r="K33" t="s">
        <v>27</v>
      </c>
      <c r="L33" t="s">
        <v>28</v>
      </c>
      <c r="M33" t="s">
        <v>29</v>
      </c>
      <c r="N33">
        <v>1</v>
      </c>
      <c r="O33">
        <v>55000</v>
      </c>
      <c r="P33">
        <v>0.15</v>
      </c>
      <c r="Q33" t="s">
        <v>30</v>
      </c>
      <c r="R33" t="s">
        <v>31</v>
      </c>
      <c r="S33">
        <v>5</v>
      </c>
      <c r="T33">
        <f>(Table2[[#This Row],[Quantity]]*Table2[[#This Row],[Unit_Price]])</f>
        <v>55000</v>
      </c>
      <c r="U33">
        <f>(Table2[[#This Row],[Gross_Sales]]*Table2[[#This Row],[Discount]])</f>
        <v>8250</v>
      </c>
      <c r="V33">
        <f>(Table2[[#This Row],[Gross_Sales]]-Table2[[#This Row],[Discount_Amount]])</f>
        <v>46750</v>
      </c>
      <c r="W33" s="3" t="str">
        <f>TEXT(Table2[[#This Row],[Order_Date]],"mmm")</f>
        <v>Feb</v>
      </c>
      <c r="X33" s="3">
        <f>MONTH(Table2[[#This Row],[Order_Date]])</f>
        <v>2</v>
      </c>
      <c r="Y33" s="3">
        <f>YEAR(Table2[[#This Row],[Order_Date]])</f>
        <v>2026</v>
      </c>
      <c r="Z33" s="3" t="str">
        <f>_xlfn.IFS(Table2[[#This Row],[Age]]&lt;=25,"Young",Table2[[#This Row],[Age]]&lt;=50,"Mature",Table2[[#This Row],[Age]]&gt;50,"Senior")</f>
        <v>Senior</v>
      </c>
    </row>
    <row r="34" spans="1:26" x14ac:dyDescent="0.25">
      <c r="A34" t="s">
        <v>207</v>
      </c>
      <c r="B34" s="1">
        <v>46058</v>
      </c>
      <c r="C34" s="2" t="s">
        <v>208</v>
      </c>
      <c r="D34" s="2" t="s">
        <v>209</v>
      </c>
      <c r="E34" s="2" t="s">
        <v>35</v>
      </c>
      <c r="F34">
        <v>30</v>
      </c>
      <c r="G34" t="s">
        <v>58</v>
      </c>
      <c r="H34" t="s">
        <v>59</v>
      </c>
      <c r="I34" t="s">
        <v>60</v>
      </c>
      <c r="J34" t="s">
        <v>26</v>
      </c>
      <c r="K34" t="s">
        <v>82</v>
      </c>
      <c r="L34" t="s">
        <v>83</v>
      </c>
      <c r="M34" t="s">
        <v>52</v>
      </c>
      <c r="N34">
        <v>2</v>
      </c>
      <c r="O34">
        <v>2800</v>
      </c>
      <c r="P34">
        <v>0.05</v>
      </c>
      <c r="Q34" t="s">
        <v>41</v>
      </c>
      <c r="R34" t="s">
        <v>42</v>
      </c>
      <c r="S34">
        <v>4</v>
      </c>
      <c r="T34">
        <f>(Table2[[#This Row],[Quantity]]*Table2[[#This Row],[Unit_Price]])</f>
        <v>5600</v>
      </c>
      <c r="U34">
        <f>(Table2[[#This Row],[Gross_Sales]]*Table2[[#This Row],[Discount]])</f>
        <v>280</v>
      </c>
      <c r="V34">
        <f>(Table2[[#This Row],[Gross_Sales]]-Table2[[#This Row],[Discount_Amount]])</f>
        <v>5320</v>
      </c>
      <c r="W34" s="3" t="str">
        <f>TEXT(Table2[[#This Row],[Order_Date]],"mmm")</f>
        <v>Feb</v>
      </c>
      <c r="X34" s="3">
        <f>MONTH(Table2[[#This Row],[Order_Date]])</f>
        <v>2</v>
      </c>
      <c r="Y34" s="3">
        <f>YEAR(Table2[[#This Row],[Order_Date]])</f>
        <v>2026</v>
      </c>
      <c r="Z34" s="3" t="str">
        <f>_xlfn.IFS(Table2[[#This Row],[Age]]&lt;=25,"Young",Table2[[#This Row],[Age]]&lt;=50,"Mature",Table2[[#This Row],[Age]]&gt;50,"Senior")</f>
        <v>Mature</v>
      </c>
    </row>
    <row r="35" spans="1:26" x14ac:dyDescent="0.25">
      <c r="A35" t="s">
        <v>212</v>
      </c>
      <c r="B35" s="1">
        <v>46060</v>
      </c>
      <c r="C35" s="2" t="s">
        <v>213</v>
      </c>
      <c r="D35" s="2" t="s">
        <v>214</v>
      </c>
      <c r="E35" s="2" t="s">
        <v>35</v>
      </c>
      <c r="F35">
        <v>36</v>
      </c>
      <c r="G35" t="s">
        <v>23</v>
      </c>
      <c r="H35" t="s">
        <v>24</v>
      </c>
      <c r="I35" t="s">
        <v>25</v>
      </c>
      <c r="J35" t="s">
        <v>26</v>
      </c>
      <c r="K35" t="s">
        <v>90</v>
      </c>
      <c r="L35" t="s">
        <v>91</v>
      </c>
      <c r="M35" t="s">
        <v>63</v>
      </c>
      <c r="N35">
        <v>1</v>
      </c>
      <c r="O35">
        <v>7500</v>
      </c>
      <c r="P35">
        <v>0.05</v>
      </c>
      <c r="Q35" t="s">
        <v>30</v>
      </c>
      <c r="R35" t="s">
        <v>64</v>
      </c>
      <c r="S35">
        <v>5</v>
      </c>
      <c r="T35">
        <f>(Table2[[#This Row],[Quantity]]*Table2[[#This Row],[Unit_Price]])</f>
        <v>7500</v>
      </c>
      <c r="U35">
        <f>(Table2[[#This Row],[Gross_Sales]]*Table2[[#This Row],[Discount]])</f>
        <v>375</v>
      </c>
      <c r="V35">
        <f>(Table2[[#This Row],[Gross_Sales]]-Table2[[#This Row],[Discount_Amount]])</f>
        <v>7125</v>
      </c>
      <c r="W35" s="3" t="str">
        <f>TEXT(Table2[[#This Row],[Order_Date]],"mmm")</f>
        <v>Feb</v>
      </c>
      <c r="X35" s="3">
        <f>MONTH(Table2[[#This Row],[Order_Date]])</f>
        <v>2</v>
      </c>
      <c r="Y35" s="3">
        <f>YEAR(Table2[[#This Row],[Order_Date]])</f>
        <v>2026</v>
      </c>
      <c r="Z35" s="3" t="str">
        <f>_xlfn.IFS(Table2[[#This Row],[Age]]&lt;=25,"Young",Table2[[#This Row],[Age]]&lt;=50,"Mature",Table2[[#This Row],[Age]]&gt;50,"Senior")</f>
        <v>Mature</v>
      </c>
    </row>
    <row r="36" spans="1:26" x14ac:dyDescent="0.25">
      <c r="A36" t="s">
        <v>215</v>
      </c>
      <c r="B36" s="1">
        <v>46061</v>
      </c>
      <c r="C36" s="2" t="s">
        <v>216</v>
      </c>
      <c r="D36" s="2" t="s">
        <v>217</v>
      </c>
      <c r="E36" s="2" t="s">
        <v>22</v>
      </c>
      <c r="F36">
        <v>39</v>
      </c>
      <c r="G36" t="s">
        <v>68</v>
      </c>
      <c r="H36" t="s">
        <v>68</v>
      </c>
      <c r="I36" t="s">
        <v>69</v>
      </c>
      <c r="J36" t="s">
        <v>38</v>
      </c>
      <c r="K36" t="s">
        <v>98</v>
      </c>
      <c r="L36" t="s">
        <v>99</v>
      </c>
      <c r="M36" t="s">
        <v>29</v>
      </c>
      <c r="N36">
        <v>2</v>
      </c>
      <c r="O36">
        <v>4500</v>
      </c>
      <c r="P36">
        <v>0.2</v>
      </c>
      <c r="Q36" t="s">
        <v>41</v>
      </c>
      <c r="R36" t="s">
        <v>31</v>
      </c>
      <c r="S36">
        <v>4</v>
      </c>
      <c r="T36">
        <f>(Table2[[#This Row],[Quantity]]*Table2[[#This Row],[Unit_Price]])</f>
        <v>9000</v>
      </c>
      <c r="U36">
        <f>(Table2[[#This Row],[Gross_Sales]]*Table2[[#This Row],[Discount]])</f>
        <v>1800</v>
      </c>
      <c r="V36">
        <f>(Table2[[#This Row],[Gross_Sales]]-Table2[[#This Row],[Discount_Amount]])</f>
        <v>7200</v>
      </c>
      <c r="W36" s="3" t="str">
        <f>TEXT(Table2[[#This Row],[Order_Date]],"mmm")</f>
        <v>Feb</v>
      </c>
      <c r="X36" s="3">
        <f>MONTH(Table2[[#This Row],[Order_Date]])</f>
        <v>2</v>
      </c>
      <c r="Y36" s="3">
        <f>YEAR(Table2[[#This Row],[Order_Date]])</f>
        <v>2026</v>
      </c>
      <c r="Z36" s="3" t="str">
        <f>_xlfn.IFS(Table2[[#This Row],[Age]]&lt;=25,"Young",Table2[[#This Row],[Age]]&lt;=50,"Mature",Table2[[#This Row],[Age]]&gt;50,"Senior")</f>
        <v>Mature</v>
      </c>
    </row>
    <row r="37" spans="1:26" x14ac:dyDescent="0.25">
      <c r="A37" t="s">
        <v>218</v>
      </c>
      <c r="B37" s="1">
        <v>46062</v>
      </c>
      <c r="C37" s="2" t="s">
        <v>219</v>
      </c>
      <c r="D37" s="2" t="s">
        <v>220</v>
      </c>
      <c r="E37" s="2" t="s">
        <v>35</v>
      </c>
      <c r="F37">
        <v>28</v>
      </c>
      <c r="G37" t="s">
        <v>150</v>
      </c>
      <c r="H37" t="s">
        <v>151</v>
      </c>
      <c r="I37" t="s">
        <v>152</v>
      </c>
      <c r="J37" t="s">
        <v>49</v>
      </c>
      <c r="K37" t="s">
        <v>153</v>
      </c>
      <c r="L37" t="s">
        <v>154</v>
      </c>
      <c r="M37" t="s">
        <v>72</v>
      </c>
      <c r="N37">
        <v>1</v>
      </c>
      <c r="O37">
        <v>2400</v>
      </c>
      <c r="P37">
        <v>0.1</v>
      </c>
      <c r="Q37" t="s">
        <v>30</v>
      </c>
      <c r="R37" t="s">
        <v>42</v>
      </c>
      <c r="S37">
        <v>5</v>
      </c>
      <c r="T37">
        <f>(Table2[[#This Row],[Quantity]]*Table2[[#This Row],[Unit_Price]])</f>
        <v>2400</v>
      </c>
      <c r="U37">
        <f>(Table2[[#This Row],[Gross_Sales]]*Table2[[#This Row],[Discount]])</f>
        <v>240</v>
      </c>
      <c r="V37">
        <f>(Table2[[#This Row],[Gross_Sales]]-Table2[[#This Row],[Discount_Amount]])</f>
        <v>2160</v>
      </c>
      <c r="W37" s="3" t="str">
        <f>TEXT(Table2[[#This Row],[Order_Date]],"mmm")</f>
        <v>Feb</v>
      </c>
      <c r="X37" s="3">
        <f>MONTH(Table2[[#This Row],[Order_Date]])</f>
        <v>2</v>
      </c>
      <c r="Y37" s="3">
        <f>YEAR(Table2[[#This Row],[Order_Date]])</f>
        <v>2026</v>
      </c>
      <c r="Z37" s="3" t="str">
        <f>_xlfn.IFS(Table2[[#This Row],[Age]]&lt;=25,"Young",Table2[[#This Row],[Age]]&lt;=50,"Mature",Table2[[#This Row],[Age]]&gt;50,"Senior")</f>
        <v>Mature</v>
      </c>
    </row>
    <row r="38" spans="1:26" x14ac:dyDescent="0.25">
      <c r="A38" t="s">
        <v>221</v>
      </c>
      <c r="B38" s="1">
        <v>46063</v>
      </c>
      <c r="C38" s="2" t="s">
        <v>222</v>
      </c>
      <c r="D38" s="2" t="s">
        <v>223</v>
      </c>
      <c r="E38" s="2" t="s">
        <v>22</v>
      </c>
      <c r="F38">
        <v>43</v>
      </c>
      <c r="G38" t="s">
        <v>36</v>
      </c>
      <c r="H38" t="s">
        <v>24</v>
      </c>
      <c r="I38" t="s">
        <v>37</v>
      </c>
      <c r="J38" t="s">
        <v>38</v>
      </c>
      <c r="K38" t="s">
        <v>39</v>
      </c>
      <c r="L38" t="s">
        <v>40</v>
      </c>
      <c r="M38" t="s">
        <v>266</v>
      </c>
      <c r="N38">
        <v>2</v>
      </c>
      <c r="O38">
        <v>2500</v>
      </c>
      <c r="P38">
        <v>0.05</v>
      </c>
      <c r="Q38" t="s">
        <v>41</v>
      </c>
      <c r="R38" t="s">
        <v>54</v>
      </c>
      <c r="S38">
        <v>4</v>
      </c>
      <c r="T38">
        <f>(Table2[[#This Row],[Quantity]]*Table2[[#This Row],[Unit_Price]])</f>
        <v>5000</v>
      </c>
      <c r="U38">
        <f>(Table2[[#This Row],[Gross_Sales]]*Table2[[#This Row],[Discount]])</f>
        <v>250</v>
      </c>
      <c r="V38">
        <f>(Table2[[#This Row],[Gross_Sales]]-Table2[[#This Row],[Discount_Amount]])</f>
        <v>4750</v>
      </c>
      <c r="W38" s="3" t="str">
        <f>TEXT(Table2[[#This Row],[Order_Date]],"mmm")</f>
        <v>Feb</v>
      </c>
      <c r="X38" s="3">
        <f>MONTH(Table2[[#This Row],[Order_Date]])</f>
        <v>2</v>
      </c>
      <c r="Y38" s="3">
        <f>YEAR(Table2[[#This Row],[Order_Date]])</f>
        <v>2026</v>
      </c>
      <c r="Z38" s="3" t="str">
        <f>_xlfn.IFS(Table2[[#This Row],[Age]]&lt;=25,"Young",Table2[[#This Row],[Age]]&lt;=50,"Mature",Table2[[#This Row],[Age]]&gt;50,"Senior")</f>
        <v>Mature</v>
      </c>
    </row>
    <row r="39" spans="1:26" x14ac:dyDescent="0.25">
      <c r="A39" t="s">
        <v>224</v>
      </c>
      <c r="B39" s="1">
        <v>46064</v>
      </c>
      <c r="C39" s="2" t="s">
        <v>225</v>
      </c>
      <c r="D39" s="2" t="s">
        <v>226</v>
      </c>
      <c r="E39" s="2" t="s">
        <v>35</v>
      </c>
      <c r="F39">
        <v>24</v>
      </c>
      <c r="G39" t="s">
        <v>171</v>
      </c>
      <c r="H39" t="s">
        <v>172</v>
      </c>
      <c r="I39" t="s">
        <v>173</v>
      </c>
      <c r="J39" t="s">
        <v>38</v>
      </c>
      <c r="K39" t="s">
        <v>50</v>
      </c>
      <c r="L39" t="s">
        <v>51</v>
      </c>
      <c r="M39" t="s">
        <v>52</v>
      </c>
      <c r="N39">
        <v>1</v>
      </c>
      <c r="O39">
        <v>3200</v>
      </c>
      <c r="P39">
        <v>0.1</v>
      </c>
      <c r="Q39" t="s">
        <v>30</v>
      </c>
      <c r="R39" t="s">
        <v>64</v>
      </c>
      <c r="S39">
        <v>3</v>
      </c>
      <c r="T39">
        <f>(Table2[[#This Row],[Quantity]]*Table2[[#This Row],[Unit_Price]])</f>
        <v>3200</v>
      </c>
      <c r="U39">
        <f>(Table2[[#This Row],[Gross_Sales]]*Table2[[#This Row],[Discount]])</f>
        <v>320</v>
      </c>
      <c r="V39">
        <f>(Table2[[#This Row],[Gross_Sales]]-Table2[[#This Row],[Discount_Amount]])</f>
        <v>2880</v>
      </c>
      <c r="W39" s="3" t="str">
        <f>TEXT(Table2[[#This Row],[Order_Date]],"mmm")</f>
        <v>Feb</v>
      </c>
      <c r="X39" s="3">
        <f>MONTH(Table2[[#This Row],[Order_Date]])</f>
        <v>2</v>
      </c>
      <c r="Y39" s="3">
        <f>YEAR(Table2[[#This Row],[Order_Date]])</f>
        <v>2026</v>
      </c>
      <c r="Z39" s="3" t="str">
        <f>_xlfn.IFS(Table2[[#This Row],[Age]]&lt;=25,"Young",Table2[[#This Row],[Age]]&lt;=50,"Mature",Table2[[#This Row],[Age]]&gt;50,"Senior")</f>
        <v>Young</v>
      </c>
    </row>
    <row r="40" spans="1:26" x14ac:dyDescent="0.25">
      <c r="A40" t="s">
        <v>227</v>
      </c>
      <c r="B40" s="1">
        <v>46065</v>
      </c>
      <c r="C40" s="2" t="s">
        <v>228</v>
      </c>
      <c r="D40" s="2" t="s">
        <v>229</v>
      </c>
      <c r="E40" s="2" t="s">
        <v>22</v>
      </c>
      <c r="F40">
        <v>35</v>
      </c>
      <c r="G40" t="s">
        <v>166</v>
      </c>
      <c r="H40" t="s">
        <v>122</v>
      </c>
      <c r="I40" t="s">
        <v>167</v>
      </c>
      <c r="J40" t="s">
        <v>26</v>
      </c>
      <c r="K40" t="s">
        <v>145</v>
      </c>
      <c r="L40" t="s">
        <v>146</v>
      </c>
      <c r="M40" t="s">
        <v>63</v>
      </c>
      <c r="N40">
        <v>1</v>
      </c>
      <c r="O40">
        <v>9500</v>
      </c>
      <c r="P40">
        <v>0.15</v>
      </c>
      <c r="Q40" t="s">
        <v>41</v>
      </c>
      <c r="R40" t="s">
        <v>31</v>
      </c>
      <c r="S40">
        <v>4</v>
      </c>
      <c r="T40">
        <f>(Table2[[#This Row],[Quantity]]*Table2[[#This Row],[Unit_Price]])</f>
        <v>9500</v>
      </c>
      <c r="U40">
        <f>(Table2[[#This Row],[Gross_Sales]]*Table2[[#This Row],[Discount]])</f>
        <v>1425</v>
      </c>
      <c r="V40">
        <f>(Table2[[#This Row],[Gross_Sales]]-Table2[[#This Row],[Discount_Amount]])</f>
        <v>8075</v>
      </c>
      <c r="W40" s="3" t="str">
        <f>TEXT(Table2[[#This Row],[Order_Date]],"mmm")</f>
        <v>Feb</v>
      </c>
      <c r="X40" s="3">
        <f>MONTH(Table2[[#This Row],[Order_Date]])</f>
        <v>2</v>
      </c>
      <c r="Y40" s="3">
        <f>YEAR(Table2[[#This Row],[Order_Date]])</f>
        <v>2026</v>
      </c>
      <c r="Z40" s="3" t="str">
        <f>_xlfn.IFS(Table2[[#This Row],[Age]]&lt;=25,"Young",Table2[[#This Row],[Age]]&lt;=50,"Mature",Table2[[#This Row],[Age]]&gt;50,"Senior")</f>
        <v>Mature</v>
      </c>
    </row>
    <row r="41" spans="1:26" x14ac:dyDescent="0.25">
      <c r="A41" t="s">
        <v>230</v>
      </c>
      <c r="B41" s="1">
        <v>46066</v>
      </c>
      <c r="C41" s="2" t="s">
        <v>231</v>
      </c>
      <c r="D41" s="2" t="s">
        <v>232</v>
      </c>
      <c r="E41" s="2" t="s">
        <v>35</v>
      </c>
      <c r="F41">
        <v>27</v>
      </c>
      <c r="G41" t="s">
        <v>23</v>
      </c>
      <c r="H41" t="s">
        <v>24</v>
      </c>
      <c r="I41" t="s">
        <v>25</v>
      </c>
      <c r="J41" t="s">
        <v>26</v>
      </c>
      <c r="K41" t="s">
        <v>132</v>
      </c>
      <c r="L41" t="s">
        <v>133</v>
      </c>
      <c r="M41" t="s">
        <v>72</v>
      </c>
      <c r="N41">
        <v>3</v>
      </c>
      <c r="O41">
        <v>900</v>
      </c>
      <c r="P41">
        <v>0.05</v>
      </c>
      <c r="Q41" t="s">
        <v>30</v>
      </c>
      <c r="R41" t="s">
        <v>42</v>
      </c>
      <c r="S41">
        <v>5</v>
      </c>
      <c r="T41">
        <f>(Table2[[#This Row],[Quantity]]*Table2[[#This Row],[Unit_Price]])</f>
        <v>2700</v>
      </c>
      <c r="U41">
        <f>(Table2[[#This Row],[Gross_Sales]]*Table2[[#This Row],[Discount]])</f>
        <v>135</v>
      </c>
      <c r="V41">
        <f>(Table2[[#This Row],[Gross_Sales]]-Table2[[#This Row],[Discount_Amount]])</f>
        <v>2565</v>
      </c>
      <c r="W41" s="3" t="str">
        <f>TEXT(Table2[[#This Row],[Order_Date]],"mmm")</f>
        <v>Feb</v>
      </c>
      <c r="X41" s="3">
        <f>MONTH(Table2[[#This Row],[Order_Date]])</f>
        <v>2</v>
      </c>
      <c r="Y41" s="3">
        <f>YEAR(Table2[[#This Row],[Order_Date]])</f>
        <v>2026</v>
      </c>
      <c r="Z41" s="3" t="str">
        <f>_xlfn.IFS(Table2[[#This Row],[Age]]&lt;=25,"Young",Table2[[#This Row],[Age]]&lt;=50,"Mature",Table2[[#This Row],[Age]]&gt;50,"Senior")</f>
        <v>Mature</v>
      </c>
    </row>
    <row r="42" spans="1:26" x14ac:dyDescent="0.25">
      <c r="A42" t="s">
        <v>233</v>
      </c>
      <c r="B42" s="1">
        <v>46067</v>
      </c>
      <c r="C42" s="2" t="s">
        <v>234</v>
      </c>
      <c r="D42" s="2" t="s">
        <v>235</v>
      </c>
      <c r="E42" s="2" t="s">
        <v>22</v>
      </c>
      <c r="F42">
        <v>48</v>
      </c>
      <c r="G42" t="s">
        <v>46</v>
      </c>
      <c r="H42" t="s">
        <v>47</v>
      </c>
      <c r="I42" t="s">
        <v>48</v>
      </c>
      <c r="J42" t="s">
        <v>49</v>
      </c>
      <c r="K42" t="s">
        <v>77</v>
      </c>
      <c r="L42" t="s">
        <v>78</v>
      </c>
      <c r="M42" t="s">
        <v>29</v>
      </c>
      <c r="N42">
        <v>2</v>
      </c>
      <c r="O42">
        <v>14000</v>
      </c>
      <c r="P42">
        <v>0.1</v>
      </c>
      <c r="Q42" t="s">
        <v>41</v>
      </c>
      <c r="R42" t="s">
        <v>54</v>
      </c>
      <c r="S42">
        <v>4</v>
      </c>
      <c r="T42">
        <f>(Table2[[#This Row],[Quantity]]*Table2[[#This Row],[Unit_Price]])</f>
        <v>28000</v>
      </c>
      <c r="U42">
        <f>(Table2[[#This Row],[Gross_Sales]]*Table2[[#This Row],[Discount]])</f>
        <v>2800</v>
      </c>
      <c r="V42">
        <f>(Table2[[#This Row],[Gross_Sales]]-Table2[[#This Row],[Discount_Amount]])</f>
        <v>25200</v>
      </c>
      <c r="W42" s="3" t="str">
        <f>TEXT(Table2[[#This Row],[Order_Date]],"mmm")</f>
        <v>Feb</v>
      </c>
      <c r="X42" s="3">
        <f>MONTH(Table2[[#This Row],[Order_Date]])</f>
        <v>2</v>
      </c>
      <c r="Y42" s="3">
        <f>YEAR(Table2[[#This Row],[Order_Date]])</f>
        <v>2026</v>
      </c>
      <c r="Z42" s="3" t="str">
        <f>_xlfn.IFS(Table2[[#This Row],[Age]]&lt;=25,"Young",Table2[[#This Row],[Age]]&lt;=50,"Mature",Table2[[#This Row],[Age]]&gt;50,"Senior")</f>
        <v>Mature</v>
      </c>
    </row>
    <row r="43" spans="1:26" x14ac:dyDescent="0.25">
      <c r="A43" t="s">
        <v>236</v>
      </c>
      <c r="B43" s="1">
        <v>46068</v>
      </c>
      <c r="C43" s="2" t="s">
        <v>237</v>
      </c>
      <c r="D43" s="2" t="s">
        <v>238</v>
      </c>
      <c r="E43" s="2" t="s">
        <v>35</v>
      </c>
      <c r="F43">
        <v>32</v>
      </c>
      <c r="G43" t="s">
        <v>58</v>
      </c>
      <c r="H43" t="s">
        <v>59</v>
      </c>
      <c r="I43" t="s">
        <v>60</v>
      </c>
      <c r="J43" t="s">
        <v>26</v>
      </c>
      <c r="K43" t="s">
        <v>61</v>
      </c>
      <c r="L43" t="s">
        <v>62</v>
      </c>
      <c r="M43" t="s">
        <v>63</v>
      </c>
      <c r="N43">
        <v>1</v>
      </c>
      <c r="O43">
        <v>8500</v>
      </c>
      <c r="P43">
        <v>0.05</v>
      </c>
      <c r="Q43" t="s">
        <v>30</v>
      </c>
      <c r="R43" t="s">
        <v>64</v>
      </c>
      <c r="S43">
        <v>5</v>
      </c>
      <c r="T43">
        <f>(Table2[[#This Row],[Quantity]]*Table2[[#This Row],[Unit_Price]])</f>
        <v>8500</v>
      </c>
      <c r="U43">
        <f>(Table2[[#This Row],[Gross_Sales]]*Table2[[#This Row],[Discount]])</f>
        <v>425</v>
      </c>
      <c r="V43">
        <f>(Table2[[#This Row],[Gross_Sales]]-Table2[[#This Row],[Discount_Amount]])</f>
        <v>8075</v>
      </c>
      <c r="W43" s="3" t="str">
        <f>TEXT(Table2[[#This Row],[Order_Date]],"mmm")</f>
        <v>Feb</v>
      </c>
      <c r="X43" s="3">
        <f>MONTH(Table2[[#This Row],[Order_Date]])</f>
        <v>2</v>
      </c>
      <c r="Y43" s="3">
        <f>YEAR(Table2[[#This Row],[Order_Date]])</f>
        <v>2026</v>
      </c>
      <c r="Z43" s="3" t="str">
        <f>_xlfn.IFS(Table2[[#This Row],[Age]]&lt;=25,"Young",Table2[[#This Row],[Age]]&lt;=50,"Mature",Table2[[#This Row],[Age]]&gt;50,"Senior")</f>
        <v>Mature</v>
      </c>
    </row>
    <row r="44" spans="1:26" x14ac:dyDescent="0.25">
      <c r="A44" t="s">
        <v>239</v>
      </c>
      <c r="B44" s="1">
        <v>46069</v>
      </c>
      <c r="C44" s="2" t="s">
        <v>240</v>
      </c>
      <c r="D44" s="2" t="s">
        <v>241</v>
      </c>
      <c r="E44" s="2" t="s">
        <v>22</v>
      </c>
      <c r="F44">
        <v>29</v>
      </c>
      <c r="G44" t="s">
        <v>68</v>
      </c>
      <c r="H44" t="s">
        <v>68</v>
      </c>
      <c r="I44" t="s">
        <v>69</v>
      </c>
      <c r="J44" t="s">
        <v>38</v>
      </c>
      <c r="K44" t="s">
        <v>106</v>
      </c>
      <c r="L44" t="s">
        <v>107</v>
      </c>
      <c r="M44" t="s">
        <v>72</v>
      </c>
      <c r="N44">
        <v>2</v>
      </c>
      <c r="O44">
        <v>1200</v>
      </c>
      <c r="P44">
        <v>0.1</v>
      </c>
      <c r="Q44" t="s">
        <v>53</v>
      </c>
      <c r="R44" t="s">
        <v>31</v>
      </c>
      <c r="S44">
        <v>3</v>
      </c>
      <c r="T44">
        <f>(Table2[[#This Row],[Quantity]]*Table2[[#This Row],[Unit_Price]])</f>
        <v>2400</v>
      </c>
      <c r="U44">
        <f>(Table2[[#This Row],[Gross_Sales]]*Table2[[#This Row],[Discount]])</f>
        <v>240</v>
      </c>
      <c r="V44">
        <f>(Table2[[#This Row],[Gross_Sales]]-Table2[[#This Row],[Discount_Amount]])</f>
        <v>2160</v>
      </c>
      <c r="W44" s="3" t="str">
        <f>TEXT(Table2[[#This Row],[Order_Date]],"mmm")</f>
        <v>Feb</v>
      </c>
      <c r="X44" s="3">
        <f>MONTH(Table2[[#This Row],[Order_Date]])</f>
        <v>2</v>
      </c>
      <c r="Y44" s="3">
        <f>YEAR(Table2[[#This Row],[Order_Date]])</f>
        <v>2026</v>
      </c>
      <c r="Z44" s="3" t="str">
        <f>_xlfn.IFS(Table2[[#This Row],[Age]]&lt;=25,"Young",Table2[[#This Row],[Age]]&lt;=50,"Mature",Table2[[#This Row],[Age]]&gt;50,"Senior")</f>
        <v>Mature</v>
      </c>
    </row>
    <row r="45" spans="1:26" x14ac:dyDescent="0.25">
      <c r="A45" t="s">
        <v>242</v>
      </c>
      <c r="B45" s="1">
        <v>46070</v>
      </c>
      <c r="C45" s="2" t="s">
        <v>243</v>
      </c>
      <c r="D45" s="2" t="s">
        <v>244</v>
      </c>
      <c r="E45" s="2" t="s">
        <v>35</v>
      </c>
      <c r="F45">
        <v>38</v>
      </c>
      <c r="G45" t="s">
        <v>36</v>
      </c>
      <c r="H45" t="s">
        <v>24</v>
      </c>
      <c r="I45" t="s">
        <v>37</v>
      </c>
      <c r="J45" t="s">
        <v>38</v>
      </c>
      <c r="K45" t="s">
        <v>116</v>
      </c>
      <c r="L45" t="s">
        <v>117</v>
      </c>
      <c r="M45" t="s">
        <v>52</v>
      </c>
      <c r="N45">
        <v>1</v>
      </c>
      <c r="O45">
        <v>3600</v>
      </c>
      <c r="P45">
        <v>0.05</v>
      </c>
      <c r="Q45" t="s">
        <v>41</v>
      </c>
      <c r="R45" t="s">
        <v>42</v>
      </c>
      <c r="S45">
        <v>4</v>
      </c>
      <c r="T45">
        <f>(Table2[[#This Row],[Quantity]]*Table2[[#This Row],[Unit_Price]])</f>
        <v>3600</v>
      </c>
      <c r="U45">
        <f>(Table2[[#This Row],[Gross_Sales]]*Table2[[#This Row],[Discount]])</f>
        <v>180</v>
      </c>
      <c r="V45">
        <f>(Table2[[#This Row],[Gross_Sales]]-Table2[[#This Row],[Discount_Amount]])</f>
        <v>3420</v>
      </c>
      <c r="W45" s="3" t="str">
        <f>TEXT(Table2[[#This Row],[Order_Date]],"mmm")</f>
        <v>Feb</v>
      </c>
      <c r="X45" s="3">
        <f>MONTH(Table2[[#This Row],[Order_Date]])</f>
        <v>2</v>
      </c>
      <c r="Y45" s="3">
        <f>YEAR(Table2[[#This Row],[Order_Date]])</f>
        <v>2026</v>
      </c>
      <c r="Z45" s="3" t="str">
        <f>_xlfn.IFS(Table2[[#This Row],[Age]]&lt;=25,"Young",Table2[[#This Row],[Age]]&lt;=50,"Mature",Table2[[#This Row],[Age]]&gt;50,"Senior")</f>
        <v>Mature</v>
      </c>
    </row>
    <row r="46" spans="1:26" x14ac:dyDescent="0.25">
      <c r="A46" t="s">
        <v>245</v>
      </c>
      <c r="B46" s="1">
        <v>46071</v>
      </c>
      <c r="C46" s="2" t="s">
        <v>246</v>
      </c>
      <c r="D46" s="2" t="s">
        <v>247</v>
      </c>
      <c r="E46" s="2" t="s">
        <v>22</v>
      </c>
      <c r="F46">
        <v>41</v>
      </c>
      <c r="G46" t="s">
        <v>95</v>
      </c>
      <c r="H46" t="s">
        <v>96</v>
      </c>
      <c r="I46" t="s">
        <v>97</v>
      </c>
      <c r="J46" t="s">
        <v>26</v>
      </c>
      <c r="K46" t="s">
        <v>111</v>
      </c>
      <c r="L46" t="s">
        <v>112</v>
      </c>
      <c r="M46" t="s">
        <v>29</v>
      </c>
      <c r="N46">
        <v>2</v>
      </c>
      <c r="O46">
        <v>1800</v>
      </c>
      <c r="P46">
        <v>0.05</v>
      </c>
      <c r="Q46" t="s">
        <v>30</v>
      </c>
      <c r="R46" t="s">
        <v>54</v>
      </c>
      <c r="S46">
        <v>4</v>
      </c>
      <c r="T46">
        <f>(Table2[[#This Row],[Quantity]]*Table2[[#This Row],[Unit_Price]])</f>
        <v>3600</v>
      </c>
      <c r="U46">
        <f>(Table2[[#This Row],[Gross_Sales]]*Table2[[#This Row],[Discount]])</f>
        <v>180</v>
      </c>
      <c r="V46">
        <f>(Table2[[#This Row],[Gross_Sales]]-Table2[[#This Row],[Discount_Amount]])</f>
        <v>3420</v>
      </c>
      <c r="W46" s="3" t="str">
        <f>TEXT(Table2[[#This Row],[Order_Date]],"mmm")</f>
        <v>Feb</v>
      </c>
      <c r="X46" s="3">
        <f>MONTH(Table2[[#This Row],[Order_Date]])</f>
        <v>2</v>
      </c>
      <c r="Y46" s="3">
        <f>YEAR(Table2[[#This Row],[Order_Date]])</f>
        <v>2026</v>
      </c>
      <c r="Z46" s="3" t="str">
        <f>_xlfn.IFS(Table2[[#This Row],[Age]]&lt;=25,"Young",Table2[[#This Row],[Age]]&lt;=50,"Mature",Table2[[#This Row],[Age]]&gt;50,"Senior")</f>
        <v>Mature</v>
      </c>
    </row>
    <row r="47" spans="1:26" x14ac:dyDescent="0.25">
      <c r="A47" t="s">
        <v>248</v>
      </c>
      <c r="B47" s="1">
        <v>46072</v>
      </c>
      <c r="C47" s="2" t="s">
        <v>249</v>
      </c>
      <c r="D47" s="2" t="s">
        <v>250</v>
      </c>
      <c r="E47" s="2" t="s">
        <v>35</v>
      </c>
      <c r="F47">
        <v>26</v>
      </c>
      <c r="G47" t="s">
        <v>23</v>
      </c>
      <c r="H47" t="s">
        <v>24</v>
      </c>
      <c r="I47" t="s">
        <v>25</v>
      </c>
      <c r="J47" t="s">
        <v>26</v>
      </c>
      <c r="K47" t="s">
        <v>161</v>
      </c>
      <c r="L47" t="s">
        <v>162</v>
      </c>
      <c r="M47" t="s">
        <v>72</v>
      </c>
      <c r="N47">
        <v>2</v>
      </c>
      <c r="O47">
        <v>1500</v>
      </c>
      <c r="P47">
        <v>0.15</v>
      </c>
      <c r="Q47" t="s">
        <v>41</v>
      </c>
      <c r="R47" t="s">
        <v>64</v>
      </c>
      <c r="S47">
        <v>5</v>
      </c>
      <c r="T47">
        <f>(Table2[[#This Row],[Quantity]]*Table2[[#This Row],[Unit_Price]])</f>
        <v>3000</v>
      </c>
      <c r="U47">
        <f>(Table2[[#This Row],[Gross_Sales]]*Table2[[#This Row],[Discount]])</f>
        <v>450</v>
      </c>
      <c r="V47">
        <f>(Table2[[#This Row],[Gross_Sales]]-Table2[[#This Row],[Discount_Amount]])</f>
        <v>2550</v>
      </c>
      <c r="W47" s="3" t="str">
        <f>TEXT(Table2[[#This Row],[Order_Date]],"mmm")</f>
        <v>Feb</v>
      </c>
      <c r="X47" s="3">
        <f>MONTH(Table2[[#This Row],[Order_Date]])</f>
        <v>2</v>
      </c>
      <c r="Y47" s="3">
        <f>YEAR(Table2[[#This Row],[Order_Date]])</f>
        <v>2026</v>
      </c>
      <c r="Z47" s="3" t="str">
        <f>_xlfn.IFS(Table2[[#This Row],[Age]]&lt;=25,"Young",Table2[[#This Row],[Age]]&lt;=50,"Mature",Table2[[#This Row],[Age]]&gt;50,"Senior")</f>
        <v>Mature</v>
      </c>
    </row>
    <row r="48" spans="1:26" x14ac:dyDescent="0.25">
      <c r="A48" t="s">
        <v>251</v>
      </c>
      <c r="B48" s="1">
        <v>46073</v>
      </c>
      <c r="C48" s="2" t="s">
        <v>252</v>
      </c>
      <c r="D48" s="2" t="s">
        <v>253</v>
      </c>
      <c r="E48" s="2" t="s">
        <v>22</v>
      </c>
      <c r="F48">
        <v>34</v>
      </c>
      <c r="G48" t="s">
        <v>150</v>
      </c>
      <c r="H48" t="s">
        <v>151</v>
      </c>
      <c r="I48" t="s">
        <v>152</v>
      </c>
      <c r="J48" t="s">
        <v>49</v>
      </c>
      <c r="K48" t="s">
        <v>70</v>
      </c>
      <c r="L48" t="s">
        <v>71</v>
      </c>
      <c r="M48" t="s">
        <v>72</v>
      </c>
      <c r="N48">
        <v>3</v>
      </c>
      <c r="O48">
        <v>1800</v>
      </c>
      <c r="P48">
        <v>0.1</v>
      </c>
      <c r="Q48" t="s">
        <v>30</v>
      </c>
      <c r="R48" t="s">
        <v>31</v>
      </c>
      <c r="S48">
        <v>4</v>
      </c>
      <c r="T48">
        <f>(Table2[[#This Row],[Quantity]]*Table2[[#This Row],[Unit_Price]])</f>
        <v>5400</v>
      </c>
      <c r="U48">
        <f>(Table2[[#This Row],[Gross_Sales]]*Table2[[#This Row],[Discount]])</f>
        <v>540</v>
      </c>
      <c r="V48">
        <f>(Table2[[#This Row],[Gross_Sales]]-Table2[[#This Row],[Discount_Amount]])</f>
        <v>4860</v>
      </c>
      <c r="W48" s="3" t="str">
        <f>TEXT(Table2[[#This Row],[Order_Date]],"mmm")</f>
        <v>Feb</v>
      </c>
      <c r="X48" s="3">
        <f>MONTH(Table2[[#This Row],[Order_Date]])</f>
        <v>2</v>
      </c>
      <c r="Y48" s="3">
        <f>YEAR(Table2[[#This Row],[Order_Date]])</f>
        <v>2026</v>
      </c>
      <c r="Z48" s="3" t="str">
        <f>_xlfn.IFS(Table2[[#This Row],[Age]]&lt;=25,"Young",Table2[[#This Row],[Age]]&lt;=50,"Mature",Table2[[#This Row],[Age]]&gt;50,"Senior")</f>
        <v>Mature</v>
      </c>
    </row>
    <row r="49" spans="1:26" x14ac:dyDescent="0.25">
      <c r="A49" t="s">
        <v>254</v>
      </c>
      <c r="B49" s="1">
        <v>46074</v>
      </c>
      <c r="C49" s="2" t="s">
        <v>255</v>
      </c>
      <c r="D49" s="2" t="s">
        <v>265</v>
      </c>
      <c r="E49" s="2" t="s">
        <v>35</v>
      </c>
      <c r="F49">
        <v>23</v>
      </c>
      <c r="G49" t="s">
        <v>23</v>
      </c>
      <c r="H49" t="s">
        <v>24</v>
      </c>
      <c r="I49" t="s">
        <v>25</v>
      </c>
      <c r="J49" t="s">
        <v>26</v>
      </c>
      <c r="K49" t="s">
        <v>137</v>
      </c>
      <c r="L49" t="s">
        <v>138</v>
      </c>
      <c r="M49" t="s">
        <v>29</v>
      </c>
      <c r="N49">
        <v>2</v>
      </c>
      <c r="O49">
        <v>900</v>
      </c>
      <c r="P49">
        <v>0.05</v>
      </c>
      <c r="Q49" t="s">
        <v>30</v>
      </c>
      <c r="R49" t="s">
        <v>42</v>
      </c>
      <c r="S49">
        <v>5</v>
      </c>
      <c r="T49">
        <f>(Table2[[#This Row],[Quantity]]*Table2[[#This Row],[Unit_Price]])</f>
        <v>1800</v>
      </c>
      <c r="U49">
        <f>(Table2[[#This Row],[Gross_Sales]]*Table2[[#This Row],[Discount]])</f>
        <v>90</v>
      </c>
      <c r="V49">
        <f>(Table2[[#This Row],[Gross_Sales]]-Table2[[#This Row],[Discount_Amount]])</f>
        <v>1710</v>
      </c>
      <c r="W49" s="3" t="str">
        <f>TEXT(Table2[[#This Row],[Order_Date]],"mmm")</f>
        <v>Feb</v>
      </c>
      <c r="X49" s="3">
        <f>MONTH(Table2[[#This Row],[Order_Date]])</f>
        <v>2</v>
      </c>
      <c r="Y49" s="3">
        <f>YEAR(Table2[[#This Row],[Order_Date]])</f>
        <v>2026</v>
      </c>
      <c r="Z49" s="3" t="str">
        <f>_xlfn.IFS(Table2[[#This Row],[Age]]&lt;=25,"Young",Table2[[#This Row],[Age]]&lt;=50,"Mature",Table2[[#This Row],[Age]]&gt;50,"Senior")</f>
        <v>Young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Raw_Sales</vt:lpstr>
      <vt:lpstr>Cleaned_Sales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anish bhosale</cp:lastModifiedBy>
  <dcterms:created xsi:type="dcterms:W3CDTF">2026-09-23T06:22:49Z</dcterms:created>
  <dcterms:modified xsi:type="dcterms:W3CDTF">2026-09-23T07:33:44Z</dcterms:modified>
</cp:coreProperties>
</file>